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41bf5f3df44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chedule" sheetId="1" r:id="R0428e4ad4dfd4be9"/>
    <x:sheet xmlns:r="http://schemas.openxmlformats.org/officeDocument/2006/relationships" name="Scorekeeper" sheetId="2" r:id="Ra9539bd913484a98"/>
    <x:sheet xmlns:r="http://schemas.openxmlformats.org/officeDocument/2006/relationships" name="Standings" sheetId="3" r:id="R69b3dfd5fe084039"/>
    <x:sheet xmlns:r="http://schemas.openxmlformats.org/officeDocument/2006/relationships" name="Medal Matches" sheetId="4" r:id="R0f60a83e34c5489d"/>
    <x:sheet xmlns:r="http://schemas.openxmlformats.org/officeDocument/2006/relationships" name="Pair Setup" sheetId="5" r:id="R906397552a8840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071C2C"/>
      <x:name val="Arial"/>
    </x:font>
    <x:font>
      <x:i/>
      <x:sz val="10"/>
      <x:color rgb="FF536573"/>
      <x:name val="Arial"/>
    </x:font>
    <x:font>
      <x:b/>
      <x:sz val="10"/>
      <x:color rgb="FFFFFFFF"/>
      <x:name val="Arial"/>
    </x:font>
    <x:font>
      <x:sz val="10"/>
      <x:color rgb="FF132431"/>
      <x:name val="Arial"/>
    </x:font>
    <x:font>
      <x:b/>
      <x:sz val="9"/>
      <x:color rgb="FF132431"/>
      <x:name val="Arial"/>
    </x:font>
    <x:font>
      <x:b/>
      <x:sz val="10"/>
      <x:color rgb="FF071C2C"/>
      <x:name val="Arial"/>
    </x:font>
    <x:font>
      <x:i/>
      <x:sz val="10"/>
      <x:color rgb="FF13243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71C2C"/>
      </x:patternFill>
    </x:fill>
    <x:fill>
      <x:patternFill patternType="solid">
        <x:fgColor rgb="FFFFF2CC"/>
      </x:patternFill>
    </x:fill>
    <x:fill>
      <x:patternFill patternType="solid">
        <x:fgColor rgb="FFFFC24B"/>
      </x:patternFill>
    </x:fill>
    <x:fill>
      <x:patternFill patternType="solid">
        <x:fgColor rgb="FFF5F3EE"/>
      </x:patternFill>
    </x:fill>
  </x:fills>
  <x:borders count="14">
    <x:border/>
    <x:border>
      <x:bottom style="thin">
        <x:color rgb="FF4FB6F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7DEE3"/>
      </x:right>
      <x:bottom style="thin">
        <x:color rgb="FFD7DEE3"/>
      </x:bottom>
    </x:border>
    <x:border>
      <x:left style="thin">
        <x:color rgb="FFD7DEE3"/>
      </x:left>
      <x:right style="thin">
        <x:color rgb="FFD7DEE3"/>
      </x:right>
      <x:bottom style="thin">
        <x:color rgb="FFD7DEE3"/>
      </x:bottom>
    </x:border>
    <x:border>
      <x:left style="thin">
        <x:color rgb="FFD7DEE3"/>
      </x:left>
      <x:bottom style="thin">
        <x:color rgb="FFD7DEE3"/>
      </x:bottom>
    </x:border>
    <x:border>
      <x:right style="thin">
        <x:color rgb="FFD7DEE3"/>
      </x:right>
      <x:top style="thin">
        <x:color rgb="FFD7DEE3"/>
      </x:top>
      <x:bottom style="thin">
        <x:color rgb="FFD7DEE3"/>
      </x:bottom>
    </x:border>
    <x:border>
      <x:left style="thin">
        <x:color rgb="FFD7DEE3"/>
      </x:left>
      <x:right style="thin">
        <x:color rgb="FFD7DEE3"/>
      </x:right>
      <x:top style="thin">
        <x:color rgb="FFD7DEE3"/>
      </x:top>
      <x:bottom style="thin">
        <x:color rgb="FFD7DEE3"/>
      </x:bottom>
    </x:border>
    <x:border>
      <x:left style="thin">
        <x:color rgb="FFD7DEE3"/>
      </x:left>
      <x:top style="thin">
        <x:color rgb="FFD7DEE3"/>
      </x:top>
      <x:bottom style="thin">
        <x:color rgb="FFD7DEE3"/>
      </x:bottom>
    </x:border>
    <x:border>
      <x:right style="thin">
        <x:color rgb="FFD7DEE3"/>
      </x:right>
      <x:top style="thin">
        <x:color rgb="FFD7DEE3"/>
      </x:top>
    </x:border>
    <x:border>
      <x:left style="thin">
        <x:color rgb="FFD7DEE3"/>
      </x:left>
      <x:right style="thin">
        <x:color rgb="FFD7DEE3"/>
      </x:right>
      <x:top style="thin">
        <x:color rgb="FFD7DEE3"/>
      </x:top>
    </x:border>
    <x:border>
      <x:left style="thin">
        <x:color rgb="FFD7DEE3"/>
      </x:left>
      <x:top style="thin">
        <x:color rgb="FFD7DEE3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4" fillId="3" borderId="10" xfId="0" applyNumberFormat="1" applyFont="1" applyFill="1" applyBorder="1" applyAlignment="1">
      <x:alignment vertical="center"/>
    </x:xf>
    <x:xf numFmtId="0" fontId="4" fillId="3" borderId="12" xfId="0" applyNumberFormat="1" applyFont="1" applyFill="1" applyBorder="1" applyAlignment="1">
      <x:alignment vertical="center"/>
    </x:xf>
    <x:xf numFmtId="0" fontId="4" fillId="3" borderId="13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5" fillId="0" borderId="12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4" fillId="3" borderId="9" xfId="0" applyNumberFormat="1" applyFont="1" applyFill="1" applyBorder="1" applyAlignment="1">
      <x:alignment horizontal="center" vertical="center"/>
    </x:xf>
    <x:xf numFmtId="0" fontId="4" fillId="3" borderId="12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16d16e7d24492f" /><Relationship Type="http://schemas.openxmlformats.org/officeDocument/2006/relationships/theme" Target="/xl/theme/theme1.xml" Id="R708d59d9089a4197" /><Relationship Type="http://schemas.openxmlformats.org/officeDocument/2006/relationships/sharedStrings" Target="/xl/sharedStrings.xml" Id="R85dbde74ca7b4c4b" /><Relationship Type="http://schemas.openxmlformats.org/officeDocument/2006/relationships/worksheet" Target="/xl/worksheets/sheet1.xml" Id="R0428e4ad4dfd4be9" /><Relationship Type="http://schemas.openxmlformats.org/officeDocument/2006/relationships/worksheet" Target="/xl/worksheets/sheet2.xml" Id="Ra9539bd913484a98" /><Relationship Type="http://schemas.openxmlformats.org/officeDocument/2006/relationships/worksheet" Target="/xl/worksheets/sheet3.xml" Id="R69b3dfd5fe084039" /><Relationship Type="http://schemas.openxmlformats.org/officeDocument/2006/relationships/worksheet" Target="/xl/worksheets/sheet4.xml" Id="R0f60a83e34c5489d" /><Relationship Type="http://schemas.openxmlformats.org/officeDocument/2006/relationships/worksheet" Target="/xl/worksheets/sheet5.xml" Id="R906397552a8840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71C2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19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2">
      <x:c r="A2" s="1" t="str">
        <x:v>OCPC x Rally Rebels Club Dual Meet</x:v>
      </x:c>
    </x:row>
    <x:row r="3">
      <x:c r="A3" s="2" t="str">
        <x:v>September 19, 2026 | Rally District PH, Kawit, Cavite | Five courts | 10:00 AM-5:00 PM</x:v>
      </x:c>
    </x:row>
    <x:row r="4">
      <x:c r="A4" s="3"/>
      <x:c r="B4" s="3"/>
      <x:c r="C4" s="3"/>
      <x:c r="D4" s="3"/>
      <x:c r="E4" s="3"/>
      <x:c r="F4" s="3"/>
      <x:c r="G4" s="3"/>
    </x:row>
    <x:row r="6" ht="30" customHeight="1">
      <x:c r="A6" s="15" t="str">
        <x:v>Wave</x:v>
      </x:c>
      <x:c r="B6" s="16" t="str">
        <x:v>Time</x:v>
      </x:c>
      <x:c r="C6" s="16" t="str">
        <x:v>Court 1</x:v>
      </x:c>
      <x:c r="D6" s="16" t="str">
        <x:v>Court 2</x:v>
      </x:c>
      <x:c r="E6" s="16" t="str">
        <x:v>Court 3</x:v>
      </x:c>
      <x:c r="F6" s="16" t="str">
        <x:v>Court 4</x:v>
      </x:c>
      <x:c r="G6" s="17" t="str">
        <x:v>Court 5</x:v>
      </x:c>
    </x:row>
    <x:row r="7" ht="38" customHeight="1">
      <x:c r="A7" s="35" t="n">
        <x:v>1</x:v>
      </x:c>
      <x:c r="B7" s="36" t="str">
        <x:v>10:00 AM-10:15 AM</x:v>
      </x:c>
      <x:c r="C7" s="48" t="str">
        <x:v>High Intermediate
O5 vs R3</x:v>
      </x:c>
      <x:c r="D7" s="48" t="str">
        <x:v>Novice
O2 vs R6</x:v>
      </x:c>
      <x:c r="E7" s="48" t="str">
        <x:v>Low Intermediate
O2 vs R6</x:v>
      </x:c>
      <x:c r="F7" s="48" t="str">
        <x:v>Low Intermediate
O6 vs R4</x:v>
      </x:c>
      <x:c r="G7" s="48" t="str">
        <x:v>High Intermediate
O6 vs R6</x:v>
      </x:c>
    </x:row>
    <x:row r="8" ht="38" customHeight="1">
      <x:c r="A8" s="37" t="n">
        <x:v>2</x:v>
      </x:c>
      <x:c r="B8" s="38" t="str">
        <x:v>10:15 AM-10:30 AM</x:v>
      </x:c>
      <x:c r="C8" s="48" t="str">
        <x:v>Novice
O1 vs R5</x:v>
      </x:c>
      <x:c r="D8" s="48" t="str">
        <x:v>Low Intermediate
O3 vs R3</x:v>
      </x:c>
      <x:c r="E8" s="48" t="str">
        <x:v>High Intermediate
O2 vs R4</x:v>
      </x:c>
      <x:c r="F8" s="48" t="str">
        <x:v>Novice
O6 vs R2</x:v>
      </x:c>
      <x:c r="G8" s="48" t="str">
        <x:v>Low Intermediate
O5 vs R1</x:v>
      </x:c>
    </x:row>
    <x:row r="9" ht="38" customHeight="1">
      <x:c r="A9" s="37" t="n">
        <x:v>3</x:v>
      </x:c>
      <x:c r="B9" s="38" t="str">
        <x:v>10:30 AM-10:45 AM</x:v>
      </x:c>
      <x:c r="C9" s="48" t="str">
        <x:v>Novice
O4 vs R3</x:v>
      </x:c>
      <x:c r="D9" s="48" t="str">
        <x:v>High Intermediate
O3 vs R3</x:v>
      </x:c>
      <x:c r="E9" s="48" t="str">
        <x:v>Low Intermediate
O1 vs R2</x:v>
      </x:c>
      <x:c r="F9" s="48" t="str">
        <x:v>Novice
O3 vs R4</x:v>
      </x:c>
      <x:c r="G9" s="48" t="str">
        <x:v>High Intermediate
O1 vs R6</x:v>
      </x:c>
    </x:row>
    <x:row r="10" ht="38" customHeight="1">
      <x:c r="A10" s="37" t="n">
        <x:v>4</x:v>
      </x:c>
      <x:c r="B10" s="38" t="str">
        <x:v>10:45 AM-11:00 AM</x:v>
      </x:c>
      <x:c r="C10" s="48" t="str">
        <x:v>High Intermediate
O5 vs R4</x:v>
      </x:c>
      <x:c r="D10" s="48" t="str">
        <x:v>Low Intermediate
O4 vs R4</x:v>
      </x:c>
      <x:c r="E10" s="48" t="str">
        <x:v>Novice
O5 vs R6</x:v>
      </x:c>
      <x:c r="F10" s="48" t="str">
        <x:v>Novice
O2 vs R2</x:v>
      </x:c>
      <x:c r="G10" s="48" t="str">
        <x:v>High Intermediate
O4 vs R5</x:v>
      </x:c>
    </x:row>
    <x:row r="11" ht="38" customHeight="1">
      <x:c r="A11" s="37" t="n">
        <x:v>5</x:v>
      </x:c>
      <x:c r="B11" s="38" t="str">
        <x:v>11:00 AM-11:15 AM</x:v>
      </x:c>
      <x:c r="C11" s="48" t="str">
        <x:v>Low Intermediate
O6 vs R1</x:v>
      </x:c>
      <x:c r="D11" s="48" t="str">
        <x:v>Novice
O3 vs R1</x:v>
      </x:c>
      <x:c r="E11" s="48" t="str">
        <x:v>High Intermediate
O1 vs R2</x:v>
      </x:c>
      <x:c r="F11" s="48" t="str">
        <x:v>Low Intermediate
O2 vs R3</x:v>
      </x:c>
      <x:c r="G11" s="48" t="str">
        <x:v>High Intermediate
O2 vs R6</x:v>
      </x:c>
    </x:row>
    <x:row r="12" ht="38" customHeight="1">
      <x:c r="A12" s="37" t="n">
        <x:v>6</x:v>
      </x:c>
      <x:c r="B12" s="38" t="str">
        <x:v>11:15 AM-11:30 AM</x:v>
      </x:c>
      <x:c r="C12" s="48" t="str">
        <x:v>Novice
O6 vs R6</x:v>
      </x:c>
      <x:c r="D12" s="48" t="str">
        <x:v>Low Intermediate
O3 vs R6</x:v>
      </x:c>
      <x:c r="E12" s="48" t="str">
        <x:v>High Intermediate
O6 vs R4</x:v>
      </x:c>
      <x:c r="F12" s="48" t="str">
        <x:v>Novice
O5 vs R4</x:v>
      </x:c>
      <x:c r="G12" s="48" t="str">
        <x:v>Low Intermediate
O4 vs R2</x:v>
      </x:c>
    </x:row>
    <x:row r="13" ht="38" customHeight="1">
      <x:c r="A13" s="37" t="n">
        <x:v>7</x:v>
      </x:c>
      <x:c r="B13" s="38" t="str">
        <x:v>11:30 AM-11:45 AM</x:v>
      </x:c>
      <x:c r="C13" s="48" t="str">
        <x:v>Novice
O4 vs R1</x:v>
      </x:c>
      <x:c r="D13" s="48" t="str">
        <x:v>Low Intermediate
O1 vs R1</x:v>
      </x:c>
      <x:c r="E13" s="48" t="str">
        <x:v>High Intermediate
O2 vs R2</x:v>
      </x:c>
      <x:c r="F13" s="48" t="str">
        <x:v>Novice
O1 vs R3</x:v>
      </x:c>
      <x:c r="G13" s="48" t="str">
        <x:v>Low Intermediate
O6 vs R5</x:v>
      </x:c>
    </x:row>
    <x:row r="14" ht="38" customHeight="1">
      <x:c r="A14" s="37" t="n">
        <x:v>8</x:v>
      </x:c>
      <x:c r="B14" s="38" t="str">
        <x:v>11:45 AM-12:00 PM</x:v>
      </x:c>
      <x:c r="C14" s="48" t="str">
        <x:v>High Intermediate
O1 vs R5</x:v>
      </x:c>
      <x:c r="D14" s="48" t="str">
        <x:v>Novice
O3 vs R2</x:v>
      </x:c>
      <x:c r="E14" s="48" t="str">
        <x:v>Low Intermediate
O5 vs R6</x:v>
      </x:c>
      <x:c r="F14" s="48" t="str">
        <x:v>High Intermediate
O4 vs R1</x:v>
      </x:c>
      <x:c r="G14" s="48" t="str">
        <x:v>Low Intermediate
O3 vs R4</x:v>
      </x:c>
    </x:row>
    <x:row r="15" ht="38" customHeight="1">
      <x:c r="A15" s="37" t="n">
        <x:v>9</x:v>
      </x:c>
      <x:c r="B15" s="38" t="str">
        <x:v>12:00 PM-12:15 PM</x:v>
      </x:c>
      <x:c r="C15" s="48" t="str">
        <x:v>Novice
O5 vs R1</x:v>
      </x:c>
      <x:c r="D15" s="48" t="str">
        <x:v>High Intermediate
O3 vs R2</x:v>
      </x:c>
      <x:c r="E15" s="48" t="str">
        <x:v>Low Intermediate
O6 vs R2</x:v>
      </x:c>
      <x:c r="F15" s="48" t="str">
        <x:v>Novice
O4 vs R5</x:v>
      </x:c>
      <x:c r="G15" s="48" t="str">
        <x:v>High Intermediate
O5 vs R6</x:v>
      </x:c>
    </x:row>
    <x:row r="16" ht="38" customHeight="1">
      <x:c r="A16" s="37" t="n">
        <x:v>10</x:v>
      </x:c>
      <x:c r="B16" s="38" t="str">
        <x:v>12:15 PM-12:30 PM</x:v>
      </x:c>
      <x:c r="C16" s="48" t="str">
        <x:v>High Intermediate
O1 vs R3</x:v>
      </x:c>
      <x:c r="D16" s="48" t="str">
        <x:v>Novice
O1 vs R6</x:v>
      </x:c>
      <x:c r="E16" s="48" t="str">
        <x:v>Low Intermediate
O4 vs R5</x:v>
      </x:c>
      <x:c r="F16" s="48" t="str">
        <x:v>High Intermediate
O2 vs R1</x:v>
      </x:c>
      <x:c r="G16" s="48" t="str">
        <x:v>Novice
O3 vs R3</x:v>
      </x:c>
    </x:row>
    <x:row r="17" ht="38" customHeight="1">
      <x:c r="A17" s="37" t="n">
        <x:v>11</x:v>
      </x:c>
      <x:c r="B17" s="38" t="str">
        <x:v>12:30 PM-12:45 PM</x:v>
      </x:c>
      <x:c r="C17" s="48" t="str">
        <x:v>Low Intermediate
O6 vs R6</x:v>
      </x:c>
      <x:c r="D17" s="48" t="str">
        <x:v>High Intermediate
O3 vs R4</x:v>
      </x:c>
      <x:c r="E17" s="48" t="str">
        <x:v>Novice
O6 vs R4</x:v>
      </x:c>
      <x:c r="F17" s="48" t="str">
        <x:v>Low Intermediate
O5 vs R2</x:v>
      </x:c>
      <x:c r="G17" s="48" t="str">
        <x:v>Novice
O2 vs R1</x:v>
      </x:c>
    </x:row>
    <x:row r="18" ht="38" customHeight="1">
      <x:c r="A18" s="37" t="n">
        <x:v>12</x:v>
      </x:c>
      <x:c r="B18" s="38" t="str">
        <x:v>12:45 PM-1:00 PM</x:v>
      </x:c>
      <x:c r="C18" s="48" t="str">
        <x:v>Low Intermediate
O4 vs R1</x:v>
      </x:c>
      <x:c r="D18" s="48" t="str">
        <x:v>High Intermediate
O4 vs R2</x:v>
      </x:c>
      <x:c r="E18" s="48" t="str">
        <x:v>Novice
O5 vs R3</x:v>
      </x:c>
      <x:c r="F18" s="48" t="str">
        <x:v>Low Intermediate
O1 vs R3</x:v>
      </x:c>
      <x:c r="G18" s="48" t="str">
        <x:v>High Intermediate
O5 vs R5</x:v>
      </x:c>
    </x:row>
    <x:row r="19" ht="38" customHeight="1">
      <x:c r="A19" s="37" t="n">
        <x:v>13</x:v>
      </x:c>
      <x:c r="B19" s="38" t="str">
        <x:v>1:00 PM-1:15 PM</x:v>
      </x:c>
      <x:c r="C19" s="48" t="str">
        <x:v>Novice
O3 vs R5</x:v>
      </x:c>
      <x:c r="D19" s="48" t="str">
        <x:v>Low Intermediate
O5 vs R5</x:v>
      </x:c>
      <x:c r="E19" s="48" t="str">
        <x:v>High Intermediate
O6 vs R1</x:v>
      </x:c>
      <x:c r="F19" s="48" t="str">
        <x:v>Novice
O1 vs R1</x:v>
      </x:c>
      <x:c r="G19" s="48" t="str">
        <x:v>High Intermediate
O1 vs R4</x:v>
      </x:c>
    </x:row>
    <x:row r="20" ht="38" customHeight="1">
      <x:c r="A20" s="37" t="n">
        <x:v>14</x:v>
      </x:c>
      <x:c r="B20" s="38" t="str">
        <x:v>1:15 PM-1:30 PM</x:v>
      </x:c>
      <x:c r="C20" s="48" t="str">
        <x:v>Low Intermediate
O2 vs R1</x:v>
      </x:c>
      <x:c r="D20" s="48" t="str">
        <x:v>Novice
O4 vs R4</x:v>
      </x:c>
      <x:c r="E20" s="48" t="str">
        <x:v>High Intermediate
O3 vs R5</x:v>
      </x:c>
      <x:c r="F20" s="48" t="str">
        <x:v>Low Intermediate
O4 vs R6</x:v>
      </x:c>
      <x:c r="G20" s="48" t="str">
        <x:v>Novice
O2 vs R3</x:v>
      </x:c>
    </x:row>
    <x:row r="21" ht="38" customHeight="1">
      <x:c r="A21" s="37" t="n">
        <x:v>15</x:v>
      </x:c>
      <x:c r="B21" s="38" t="str">
        <x:v>1:30 PM-1:45 PM</x:v>
      </x:c>
      <x:c r="C21" s="48" t="str">
        <x:v>Low Intermediate
O3 vs R5</x:v>
      </x:c>
      <x:c r="D21" s="48" t="str">
        <x:v>High Intermediate
O4 vs R6</x:v>
      </x:c>
      <x:c r="E21" s="48" t="str">
        <x:v>Novice
O6 vs R1</x:v>
      </x:c>
      <x:c r="F21" s="48" t="str">
        <x:v>Low Intermediate
O5 vs R4</x:v>
      </x:c>
      <x:c r="G21" s="48" t="str">
        <x:v>High Intermediate
O5 vs R2</x:v>
      </x:c>
    </x:row>
    <x:row r="22" ht="38" customHeight="1">
      <x:c r="A22" s="37" t="n">
        <x:v>16</x:v>
      </x:c>
      <x:c r="B22" s="38" t="str">
        <x:v>1:45 PM-2:00 PM</x:v>
      </x:c>
      <x:c r="C22" s="48" t="str">
        <x:v>Novice
O2 vs R4</x:v>
      </x:c>
      <x:c r="D22" s="48" t="str">
        <x:v>High Intermediate
O1 vs R1</x:v>
      </x:c>
      <x:c r="E22" s="48" t="str">
        <x:v>Low Intermediate
O6 vs R3</x:v>
      </x:c>
      <x:c r="F22" s="48" t="str">
        <x:v>Novice
O3 vs R6</x:v>
      </x:c>
      <x:c r="G22" s="48" t="str">
        <x:v>Low Intermediate
O1 vs R6</x:v>
      </x:c>
    </x:row>
    <x:row r="23" ht="38" customHeight="1">
      <x:c r="A23" s="37" t="n">
        <x:v>17</x:v>
      </x:c>
      <x:c r="B23" s="38" t="str">
        <x:v>2:00 PM-2:15 PM</x:v>
      </x:c>
      <x:c r="C23" s="48" t="str">
        <x:v>High Intermediate
O2 vs R3</x:v>
      </x:c>
      <x:c r="D23" s="48" t="str">
        <x:v>Low Intermediate
O2 vs R4</x:v>
      </x:c>
      <x:c r="E23" s="48" t="str">
        <x:v>Novice
O5 vs R5</x:v>
      </x:c>
      <x:c r="F23" s="48" t="str">
        <x:v>High Intermediate
O3 vs R6</x:v>
      </x:c>
      <x:c r="G23" s="48" t="str">
        <x:v>Novice
O1 vs R2</x:v>
      </x:c>
    </x:row>
    <x:row r="24" ht="38" customHeight="1">
      <x:c r="A24" s="37" t="n">
        <x:v>18</x:v>
      </x:c>
      <x:c r="B24" s="38" t="str">
        <x:v>2:15 PM-2:30 PM</x:v>
      </x:c>
      <x:c r="C24" s="48" t="str">
        <x:v>High Intermediate
O6 vs R5</x:v>
      </x:c>
      <x:c r="D24" s="48" t="str">
        <x:v>Low Intermediate
O5 vs R3</x:v>
      </x:c>
      <x:c r="E24" s="48" t="str">
        <x:v>Novice
O4 vs R6</x:v>
      </x:c>
      <x:c r="F24" s="48" t="str">
        <x:v>Low Intermediate
O3 vs R1</x:v>
      </x:c>
      <x:c r="G24" s="48" t="str">
        <x:v>High Intermediate
O5 vs R1</x:v>
      </x:c>
    </x:row>
    <x:row r="25" ht="38" customHeight="1">
      <x:c r="A25" s="37" t="n">
        <x:v>19</x:v>
      </x:c>
      <x:c r="B25" s="38" t="str">
        <x:v>2:30 PM-2:45 PM</x:v>
      </x:c>
      <x:c r="C25" s="48" t="str">
        <x:v>Novice
O6 vs R3</x:v>
      </x:c>
      <x:c r="D25" s="48" t="str">
        <x:v>Low Intermediate
O1 vs R5</x:v>
      </x:c>
      <x:c r="E25" s="48" t="str">
        <x:v>High Intermediate
O4 vs R3</x:v>
      </x:c>
      <x:c r="F25" s="48" t="str">
        <x:v>Low Intermediate
O2 vs R2</x:v>
      </x:c>
      <x:c r="G25" s="48" t="str">
        <x:v>Novice
O1 vs R4</x:v>
      </x:c>
    </x:row>
    <x:row r="26" ht="38" customHeight="1">
      <x:c r="A26" s="37" t="n">
        <x:v>20</x:v>
      </x:c>
      <x:c r="B26" s="38" t="str">
        <x:v>2:45 PM-3:00 PM</x:v>
      </x:c>
      <x:c r="C26" s="48" t="str">
        <x:v>High Intermediate
O6 vs R2</x:v>
      </x:c>
      <x:c r="D26" s="48" t="str">
        <x:v>Low Intermediate
O4 vs R3</x:v>
      </x:c>
      <x:c r="E26" s="48" t="str">
        <x:v>Novice
O2 vs R5</x:v>
      </x:c>
      <x:c r="F26" s="48" t="str">
        <x:v>High Intermediate
O2 vs R5</x:v>
      </x:c>
      <x:c r="G26" s="48" t="str">
        <x:v>Novice
O5 vs R2</x:v>
      </x:c>
    </x:row>
    <x:row r="27" ht="38" customHeight="1">
      <x:c r="A27" s="37" t="n">
        <x:v>21</x:v>
      </x:c>
      <x:c r="B27" s="38" t="str">
        <x:v>3:00 PM-3:15 PM</x:v>
      </x:c>
      <x:c r="C27" s="48" t="str">
        <x:v>Low Intermediate
O3 vs R2</x:v>
      </x:c>
      <x:c r="D27" s="48" t="str">
        <x:v>High Intermediate
O3 vs R1</x:v>
      </x:c>
      <x:c r="E27" s="48" t="str">
        <x:v>High Intermediate
O4 vs R4</x:v>
      </x:c>
      <x:c r="F27" s="48" t="str">
        <x:v>Low Intermediate
O1 vs R4</x:v>
      </x:c>
      <x:c r="G27" s="48" t="str"/>
    </x:row>
    <x:row r="28" ht="38" customHeight="1">
      <x:c r="A28" s="39" t="n">
        <x:v>22</x:v>
      </x:c>
      <x:c r="B28" s="40" t="str">
        <x:v>3:15 PM-3:30 PM</x:v>
      </x:c>
      <x:c r="C28" s="48" t="str">
        <x:v>Novice
O6 vs R5</x:v>
      </x:c>
      <x:c r="D28" s="48" t="str">
        <x:v>High Intermediate
O6 vs R3</x:v>
      </x:c>
      <x:c r="E28" s="48" t="str">
        <x:v>Low Intermediate
O2 vs R5</x:v>
      </x:c>
      <x:c r="F28" s="48" t="str">
        <x:v>Novice
O4 vs R2</x:v>
      </x:c>
      <x:c r="G28" s="48" t="str"/>
    </x:row>
    <x:row r="30">
      <x:c r="A30" s="51" t="str">
        <x:v>Medal rounds: Semifinals 3:30-4:00 PM | Bronze and Finals 4:00-4:30 PM | Awards 4:45 PM</x:v>
      </x:c>
    </x:row>
  </x:sheetData>
  <x:mergeCells>
    <x:mergeCell ref="A2:G2"/>
    <x:mergeCell ref="A3:G3"/>
    <x:mergeCell ref="A30:G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FB6FF"/>
  </x:sheetPr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2" hidden="0" customWidth="1"/>
    <x:col min="2" max="2" width="7" hidden="0" customWidth="1"/>
    <x:col min="3" max="3" width="19" hidden="0" customWidth="1"/>
    <x:col min="4" max="4" width="7" hidden="0" customWidth="1"/>
    <x:col min="5" max="5" width="19" hidden="0" customWidth="1"/>
    <x:col min="6" max="6" width="11" hidden="0" customWidth="1"/>
    <x:col min="7" max="7" width="20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20" hidden="0" customWidth="1"/>
    <x:col min="13" max="13" width="20" hidden="0" customWidth="1"/>
    <x:col min="14" max="14" width="12" hidden="0" customWidth="1"/>
    <x:col min="15" max="15" width="14" hidden="0" customWidth="1"/>
  </x:cols>
  <x:sheetData>
    <x:row r="2">
      <x:c r="A2" s="1" t="str">
        <x:v>Round-Robin Scorekeeper</x:v>
      </x:c>
    </x:row>
    <x:row r="3">
      <x:c r="A3" s="2" t="str">
        <x:v>Enter scores only in the yellow columns. Pair names pull from Pair Setup.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6" ht="30" customHeight="1">
      <x:c r="A6" s="15" t="str">
        <x:v>Match ID</x:v>
      </x:c>
      <x:c r="B6" s="16" t="str">
        <x:v>Wave</x:v>
      </x:c>
      <x:c r="C6" s="16" t="str">
        <x:v>Time</x:v>
      </x:c>
      <x:c r="D6" s="16" t="str">
        <x:v>Court</x:v>
      </x:c>
      <x:c r="E6" s="16" t="str">
        <x:v>Division</x:v>
      </x:c>
      <x:c r="F6" s="16" t="str">
        <x:v>OCPC Pair</x:v>
      </x:c>
      <x:c r="G6" s="16" t="str">
        <x:v>OCPC Player 1</x:v>
      </x:c>
      <x:c r="H6" s="16" t="str">
        <x:v>OCPC Player 2</x:v>
      </x:c>
      <x:c r="I6" s="16" t="str">
        <x:v>OCPC Score</x:v>
      </x:c>
      <x:c r="J6" s="16" t="str">
        <x:v>Rebels Score</x:v>
      </x:c>
      <x:c r="K6" s="16" t="str">
        <x:v>Rebels Pair</x:v>
      </x:c>
      <x:c r="L6" s="16" t="str">
        <x:v>Rebels Player 1</x:v>
      </x:c>
      <x:c r="M6" s="16" t="str">
        <x:v>Rebels Player 2</x:v>
      </x:c>
      <x:c r="N6" s="16" t="str">
        <x:v>Winner</x:v>
      </x:c>
      <x:c r="O6" s="17" t="str">
        <x:v>OCPC Point Diff</x:v>
      </x:c>
    </x:row>
    <x:row r="7">
      <x:c r="A7" s="35" t="str">
        <x:v>RR-001</x:v>
      </x:c>
      <x:c r="B7" s="36" t="n">
        <x:v>1</x:v>
      </x:c>
      <x:c r="C7" s="36" t="str">
        <x:v>10:00 AM-10:15 AM</x:v>
      </x:c>
      <x:c r="D7" s="36" t="n">
        <x:v>1</x:v>
      </x:c>
      <x:c r="E7" s="36" t="str">
        <x:v>High Intermediate</x:v>
      </x:c>
      <x:c r="F7" s="36" t="str">
        <x:v>O5</x:v>
      </x:c>
      <x:c r="G7" s="21" t="str">
        <x:f>IFERROR(VLOOKUP(E7&amp;"|"&amp;F7,'Pair Setup'!$A$7:$F$42,5,FALSE),"")</x:f>
      </x:c>
      <x:c r="H7" s="21" t="str">
        <x:f>IFERROR(VLOOKUP(E7&amp;"|"&amp;F7,'Pair Setup'!$A$7:$F$42,6,FALSE),"")</x:f>
      </x:c>
      <x:c r="I7" s="52"/>
      <x:c r="J7" s="52"/>
      <x:c r="K7" s="36" t="str">
        <x:v>R3</x:v>
      </x:c>
      <x:c r="L7" s="21" t="str">
        <x:f>IFERROR(VLOOKUP(E7&amp;"|"&amp;K7,'Pair Setup'!$A$7:$F$42,5,FALSE),"")</x:f>
      </x:c>
      <x:c r="M7" s="21" t="str">
        <x:f>IFERROR(VLOOKUP(E7&amp;"|"&amp;K7,'Pair Setup'!$A$7:$F$42,6,FALSE),"")</x:f>
      </x:c>
      <x:c r="N7" s="36" t="str">
        <x:f>IF(OR(I7="",J7=""),"",IF(I7&gt;J7,F7,IF(J7&gt;I7,K7,"TIE")))</x:f>
      </x:c>
      <x:c r="O7" s="55" t="str">
        <x:f>IF(OR(I7="",J7=""),"",I7-J7)</x:f>
      </x:c>
    </x:row>
    <x:row r="8">
      <x:c r="A8" s="37" t="str">
        <x:v>RR-002</x:v>
      </x:c>
      <x:c r="B8" s="38" t="n">
        <x:v>1</x:v>
      </x:c>
      <x:c r="C8" s="38" t="str">
        <x:v>10:00 AM-10:15 AM</x:v>
      </x:c>
      <x:c r="D8" s="38" t="n">
        <x:v>2</x:v>
      </x:c>
      <x:c r="E8" s="38" t="str">
        <x:v>Novice</x:v>
      </x:c>
      <x:c r="F8" s="38" t="str">
        <x:v>O2</x:v>
      </x:c>
      <x:c r="G8" s="24" t="str">
        <x:f>IFERROR(VLOOKUP(E8&amp;"|"&amp;F8,'Pair Setup'!$A$7:$F$42,5,FALSE),"")</x:f>
      </x:c>
      <x:c r="H8" s="24" t="str">
        <x:f>IFERROR(VLOOKUP(E8&amp;"|"&amp;F8,'Pair Setup'!$A$7:$F$42,6,FALSE),"")</x:f>
      </x:c>
      <x:c r="I8" s="53" t="str"/>
      <x:c r="J8" s="53" t="str"/>
      <x:c r="K8" s="38" t="str">
        <x:v>R6</x:v>
      </x:c>
      <x:c r="L8" s="24" t="str">
        <x:f>IFERROR(VLOOKUP(E8&amp;"|"&amp;K8,'Pair Setup'!$A$7:$F$42,5,FALSE),"")</x:f>
      </x:c>
      <x:c r="M8" s="24" t="str">
        <x:f>IFERROR(VLOOKUP(E8&amp;"|"&amp;K8,'Pair Setup'!$A$7:$F$42,6,FALSE),"")</x:f>
      </x:c>
      <x:c r="N8" s="38" t="str">
        <x:f>IF(OR(I8="",J8=""),"",IF(I8&gt;J8,F8,IF(J8&gt;I8,K8,"TIE")))</x:f>
      </x:c>
      <x:c r="O8" s="56" t="str">
        <x:f>IF(OR(I8="",J8=""),"",I8-J8)</x:f>
      </x:c>
    </x:row>
    <x:row r="9">
      <x:c r="A9" s="37" t="str">
        <x:v>RR-003</x:v>
      </x:c>
      <x:c r="B9" s="38" t="n">
        <x:v>1</x:v>
      </x:c>
      <x:c r="C9" s="38" t="str">
        <x:v>10:00 AM-10:15 AM</x:v>
      </x:c>
      <x:c r="D9" s="38" t="n">
        <x:v>3</x:v>
      </x:c>
      <x:c r="E9" s="38" t="str">
        <x:v>Low Intermediate</x:v>
      </x:c>
      <x:c r="F9" s="38" t="str">
        <x:v>O2</x:v>
      </x:c>
      <x:c r="G9" s="24" t="str">
        <x:f>IFERROR(VLOOKUP(E9&amp;"|"&amp;F9,'Pair Setup'!$A$7:$F$42,5,FALSE),"")</x:f>
      </x:c>
      <x:c r="H9" s="24" t="str">
        <x:f>IFERROR(VLOOKUP(E9&amp;"|"&amp;F9,'Pair Setup'!$A$7:$F$42,6,FALSE),"")</x:f>
      </x:c>
      <x:c r="I9" s="53" t="str"/>
      <x:c r="J9" s="53" t="str"/>
      <x:c r="K9" s="38" t="str">
        <x:v>R6</x:v>
      </x:c>
      <x:c r="L9" s="24" t="str">
        <x:f>IFERROR(VLOOKUP(E9&amp;"|"&amp;K9,'Pair Setup'!$A$7:$F$42,5,FALSE),"")</x:f>
      </x:c>
      <x:c r="M9" s="24" t="str">
        <x:f>IFERROR(VLOOKUP(E9&amp;"|"&amp;K9,'Pair Setup'!$A$7:$F$42,6,FALSE),"")</x:f>
      </x:c>
      <x:c r="N9" s="38" t="str">
        <x:f>IF(OR(I9="",J9=""),"",IF(I9&gt;J9,F9,IF(J9&gt;I9,K9,"TIE")))</x:f>
      </x:c>
      <x:c r="O9" s="56" t="str">
        <x:f>IF(OR(I9="",J9=""),"",I9-J9)</x:f>
      </x:c>
    </x:row>
    <x:row r="10">
      <x:c r="A10" s="37" t="str">
        <x:v>RR-004</x:v>
      </x:c>
      <x:c r="B10" s="38" t="n">
        <x:v>1</x:v>
      </x:c>
      <x:c r="C10" s="38" t="str">
        <x:v>10:00 AM-10:15 AM</x:v>
      </x:c>
      <x:c r="D10" s="38" t="n">
        <x:v>4</x:v>
      </x:c>
      <x:c r="E10" s="38" t="str">
        <x:v>Low Intermediate</x:v>
      </x:c>
      <x:c r="F10" s="38" t="str">
        <x:v>O6</x:v>
      </x:c>
      <x:c r="G10" s="24" t="str">
        <x:f>IFERROR(VLOOKUP(E10&amp;"|"&amp;F10,'Pair Setup'!$A$7:$F$42,5,FALSE),"")</x:f>
      </x:c>
      <x:c r="H10" s="24" t="str">
        <x:f>IFERROR(VLOOKUP(E10&amp;"|"&amp;F10,'Pair Setup'!$A$7:$F$42,6,FALSE),"")</x:f>
      </x:c>
      <x:c r="I10" s="53" t="str"/>
      <x:c r="J10" s="53" t="str"/>
      <x:c r="K10" s="38" t="str">
        <x:v>R4</x:v>
      </x:c>
      <x:c r="L10" s="24" t="str">
        <x:f>IFERROR(VLOOKUP(E10&amp;"|"&amp;K10,'Pair Setup'!$A$7:$F$42,5,FALSE),"")</x:f>
      </x:c>
      <x:c r="M10" s="24" t="str">
        <x:f>IFERROR(VLOOKUP(E10&amp;"|"&amp;K10,'Pair Setup'!$A$7:$F$42,6,FALSE),"")</x:f>
      </x:c>
      <x:c r="N10" s="38" t="str">
        <x:f>IF(OR(I10="",J10=""),"",IF(I10&gt;J10,F10,IF(J10&gt;I10,K10,"TIE")))</x:f>
      </x:c>
      <x:c r="O10" s="56" t="str">
        <x:f>IF(OR(I10="",J10=""),"",I10-J10)</x:f>
      </x:c>
    </x:row>
    <x:row r="11">
      <x:c r="A11" s="37" t="str">
        <x:v>RR-005</x:v>
      </x:c>
      <x:c r="B11" s="38" t="n">
        <x:v>1</x:v>
      </x:c>
      <x:c r="C11" s="38" t="str">
        <x:v>10:00 AM-10:15 AM</x:v>
      </x:c>
      <x:c r="D11" s="38" t="n">
        <x:v>5</x:v>
      </x:c>
      <x:c r="E11" s="38" t="str">
        <x:v>High Intermediate</x:v>
      </x:c>
      <x:c r="F11" s="38" t="str">
        <x:v>O6</x:v>
      </x:c>
      <x:c r="G11" s="24" t="str">
        <x:f>IFERROR(VLOOKUP(E11&amp;"|"&amp;F11,'Pair Setup'!$A$7:$F$42,5,FALSE),"")</x:f>
      </x:c>
      <x:c r="H11" s="24" t="str">
        <x:f>IFERROR(VLOOKUP(E11&amp;"|"&amp;F11,'Pair Setup'!$A$7:$F$42,6,FALSE),"")</x:f>
      </x:c>
      <x:c r="I11" s="53" t="str"/>
      <x:c r="J11" s="53" t="str"/>
      <x:c r="K11" s="38" t="str">
        <x:v>R6</x:v>
      </x:c>
      <x:c r="L11" s="24" t="str">
        <x:f>IFERROR(VLOOKUP(E11&amp;"|"&amp;K11,'Pair Setup'!$A$7:$F$42,5,FALSE),"")</x:f>
      </x:c>
      <x:c r="M11" s="24" t="str">
        <x:f>IFERROR(VLOOKUP(E11&amp;"|"&amp;K11,'Pair Setup'!$A$7:$F$42,6,FALSE),"")</x:f>
      </x:c>
      <x:c r="N11" s="38" t="str">
        <x:f>IF(OR(I11="",J11=""),"",IF(I11&gt;J11,F11,IF(J11&gt;I11,K11,"TIE")))</x:f>
      </x:c>
      <x:c r="O11" s="56" t="str">
        <x:f>IF(OR(I11="",J11=""),"",I11-J11)</x:f>
      </x:c>
    </x:row>
    <x:row r="12">
      <x:c r="A12" s="37" t="str">
        <x:v>RR-006</x:v>
      </x:c>
      <x:c r="B12" s="38" t="n">
        <x:v>2</x:v>
      </x:c>
      <x:c r="C12" s="38" t="str">
        <x:v>10:15 AM-10:30 AM</x:v>
      </x:c>
      <x:c r="D12" s="38" t="n">
        <x:v>1</x:v>
      </x:c>
      <x:c r="E12" s="38" t="str">
        <x:v>Novice</x:v>
      </x:c>
      <x:c r="F12" s="38" t="str">
        <x:v>O1</x:v>
      </x:c>
      <x:c r="G12" s="24" t="str">
        <x:f>IFERROR(VLOOKUP(E12&amp;"|"&amp;F12,'Pair Setup'!$A$7:$F$42,5,FALSE),"")</x:f>
      </x:c>
      <x:c r="H12" s="24" t="str">
        <x:f>IFERROR(VLOOKUP(E12&amp;"|"&amp;F12,'Pair Setup'!$A$7:$F$42,6,FALSE),"")</x:f>
      </x:c>
      <x:c r="I12" s="53" t="str"/>
      <x:c r="J12" s="53" t="str"/>
      <x:c r="K12" s="38" t="str">
        <x:v>R5</x:v>
      </x:c>
      <x:c r="L12" s="24" t="str">
        <x:f>IFERROR(VLOOKUP(E12&amp;"|"&amp;K12,'Pair Setup'!$A$7:$F$42,5,FALSE),"")</x:f>
      </x:c>
      <x:c r="M12" s="24" t="str">
        <x:f>IFERROR(VLOOKUP(E12&amp;"|"&amp;K12,'Pair Setup'!$A$7:$F$42,6,FALSE),"")</x:f>
      </x:c>
      <x:c r="N12" s="38" t="str">
        <x:f>IF(OR(I12="",J12=""),"",IF(I12&gt;J12,F12,IF(J12&gt;I12,K12,"TIE")))</x:f>
      </x:c>
      <x:c r="O12" s="56" t="str">
        <x:f>IF(OR(I12="",J12=""),"",I12-J12)</x:f>
      </x:c>
    </x:row>
    <x:row r="13">
      <x:c r="A13" s="37" t="str">
        <x:v>RR-007</x:v>
      </x:c>
      <x:c r="B13" s="38" t="n">
        <x:v>2</x:v>
      </x:c>
      <x:c r="C13" s="38" t="str">
        <x:v>10:15 AM-10:30 AM</x:v>
      </x:c>
      <x:c r="D13" s="38" t="n">
        <x:v>2</x:v>
      </x:c>
      <x:c r="E13" s="38" t="str">
        <x:v>Low Intermediate</x:v>
      </x:c>
      <x:c r="F13" s="38" t="str">
        <x:v>O3</x:v>
      </x:c>
      <x:c r="G13" s="24" t="str">
        <x:f>IFERROR(VLOOKUP(E13&amp;"|"&amp;F13,'Pair Setup'!$A$7:$F$42,5,FALSE),"")</x:f>
      </x:c>
      <x:c r="H13" s="24" t="str">
        <x:f>IFERROR(VLOOKUP(E13&amp;"|"&amp;F13,'Pair Setup'!$A$7:$F$42,6,FALSE),"")</x:f>
      </x:c>
      <x:c r="I13" s="53" t="str"/>
      <x:c r="J13" s="53" t="str"/>
      <x:c r="K13" s="38" t="str">
        <x:v>R3</x:v>
      </x:c>
      <x:c r="L13" s="24" t="str">
        <x:f>IFERROR(VLOOKUP(E13&amp;"|"&amp;K13,'Pair Setup'!$A$7:$F$42,5,FALSE),"")</x:f>
      </x:c>
      <x:c r="M13" s="24" t="str">
        <x:f>IFERROR(VLOOKUP(E13&amp;"|"&amp;K13,'Pair Setup'!$A$7:$F$42,6,FALSE),"")</x:f>
      </x:c>
      <x:c r="N13" s="38" t="str">
        <x:f>IF(OR(I13="",J13=""),"",IF(I13&gt;J13,F13,IF(J13&gt;I13,K13,"TIE")))</x:f>
      </x:c>
      <x:c r="O13" s="56" t="str">
        <x:f>IF(OR(I13="",J13=""),"",I13-J13)</x:f>
      </x:c>
    </x:row>
    <x:row r="14">
      <x:c r="A14" s="37" t="str">
        <x:v>RR-008</x:v>
      </x:c>
      <x:c r="B14" s="38" t="n">
        <x:v>2</x:v>
      </x:c>
      <x:c r="C14" s="38" t="str">
        <x:v>10:15 AM-10:30 AM</x:v>
      </x:c>
      <x:c r="D14" s="38" t="n">
        <x:v>3</x:v>
      </x:c>
      <x:c r="E14" s="38" t="str">
        <x:v>High Intermediate</x:v>
      </x:c>
      <x:c r="F14" s="38" t="str">
        <x:v>O2</x:v>
      </x:c>
      <x:c r="G14" s="24" t="str">
        <x:f>IFERROR(VLOOKUP(E14&amp;"|"&amp;F14,'Pair Setup'!$A$7:$F$42,5,FALSE),"")</x:f>
      </x:c>
      <x:c r="H14" s="24" t="str">
        <x:f>IFERROR(VLOOKUP(E14&amp;"|"&amp;F14,'Pair Setup'!$A$7:$F$42,6,FALSE),"")</x:f>
      </x:c>
      <x:c r="I14" s="53" t="str"/>
      <x:c r="J14" s="53" t="str"/>
      <x:c r="K14" s="38" t="str">
        <x:v>R4</x:v>
      </x:c>
      <x:c r="L14" s="24" t="str">
        <x:f>IFERROR(VLOOKUP(E14&amp;"|"&amp;K14,'Pair Setup'!$A$7:$F$42,5,FALSE),"")</x:f>
      </x:c>
      <x:c r="M14" s="24" t="str">
        <x:f>IFERROR(VLOOKUP(E14&amp;"|"&amp;K14,'Pair Setup'!$A$7:$F$42,6,FALSE),"")</x:f>
      </x:c>
      <x:c r="N14" s="38" t="str">
        <x:f>IF(OR(I14="",J14=""),"",IF(I14&gt;J14,F14,IF(J14&gt;I14,K14,"TIE")))</x:f>
      </x:c>
      <x:c r="O14" s="56" t="str">
        <x:f>IF(OR(I14="",J14=""),"",I14-J14)</x:f>
      </x:c>
    </x:row>
    <x:row r="15">
      <x:c r="A15" s="37" t="str">
        <x:v>RR-009</x:v>
      </x:c>
      <x:c r="B15" s="38" t="n">
        <x:v>2</x:v>
      </x:c>
      <x:c r="C15" s="38" t="str">
        <x:v>10:15 AM-10:30 AM</x:v>
      </x:c>
      <x:c r="D15" s="38" t="n">
        <x:v>4</x:v>
      </x:c>
      <x:c r="E15" s="38" t="str">
        <x:v>Novice</x:v>
      </x:c>
      <x:c r="F15" s="38" t="str">
        <x:v>O6</x:v>
      </x:c>
      <x:c r="G15" s="24" t="str">
        <x:f>IFERROR(VLOOKUP(E15&amp;"|"&amp;F15,'Pair Setup'!$A$7:$F$42,5,FALSE),"")</x:f>
      </x:c>
      <x:c r="H15" s="24" t="str">
        <x:f>IFERROR(VLOOKUP(E15&amp;"|"&amp;F15,'Pair Setup'!$A$7:$F$42,6,FALSE),"")</x:f>
      </x:c>
      <x:c r="I15" s="53" t="str"/>
      <x:c r="J15" s="53" t="str"/>
      <x:c r="K15" s="38" t="str">
        <x:v>R2</x:v>
      </x:c>
      <x:c r="L15" s="24" t="str">
        <x:f>IFERROR(VLOOKUP(E15&amp;"|"&amp;K15,'Pair Setup'!$A$7:$F$42,5,FALSE),"")</x:f>
      </x:c>
      <x:c r="M15" s="24" t="str">
        <x:f>IFERROR(VLOOKUP(E15&amp;"|"&amp;K15,'Pair Setup'!$A$7:$F$42,6,FALSE),"")</x:f>
      </x:c>
      <x:c r="N15" s="38" t="str">
        <x:f>IF(OR(I15="",J15=""),"",IF(I15&gt;J15,F15,IF(J15&gt;I15,K15,"TIE")))</x:f>
      </x:c>
      <x:c r="O15" s="56" t="str">
        <x:f>IF(OR(I15="",J15=""),"",I15-J15)</x:f>
      </x:c>
    </x:row>
    <x:row r="16">
      <x:c r="A16" s="37" t="str">
        <x:v>RR-010</x:v>
      </x:c>
      <x:c r="B16" s="38" t="n">
        <x:v>2</x:v>
      </x:c>
      <x:c r="C16" s="38" t="str">
        <x:v>10:15 AM-10:30 AM</x:v>
      </x:c>
      <x:c r="D16" s="38" t="n">
        <x:v>5</x:v>
      </x:c>
      <x:c r="E16" s="38" t="str">
        <x:v>Low Intermediate</x:v>
      </x:c>
      <x:c r="F16" s="38" t="str">
        <x:v>O5</x:v>
      </x:c>
      <x:c r="G16" s="24" t="str">
        <x:f>IFERROR(VLOOKUP(E16&amp;"|"&amp;F16,'Pair Setup'!$A$7:$F$42,5,FALSE),"")</x:f>
      </x:c>
      <x:c r="H16" s="24" t="str">
        <x:f>IFERROR(VLOOKUP(E16&amp;"|"&amp;F16,'Pair Setup'!$A$7:$F$42,6,FALSE),"")</x:f>
      </x:c>
      <x:c r="I16" s="53" t="str"/>
      <x:c r="J16" s="53" t="str"/>
      <x:c r="K16" s="38" t="str">
        <x:v>R1</x:v>
      </x:c>
      <x:c r="L16" s="24" t="str">
        <x:f>IFERROR(VLOOKUP(E16&amp;"|"&amp;K16,'Pair Setup'!$A$7:$F$42,5,FALSE),"")</x:f>
      </x:c>
      <x:c r="M16" s="24" t="str">
        <x:f>IFERROR(VLOOKUP(E16&amp;"|"&amp;K16,'Pair Setup'!$A$7:$F$42,6,FALSE),"")</x:f>
      </x:c>
      <x:c r="N16" s="38" t="str">
        <x:f>IF(OR(I16="",J16=""),"",IF(I16&gt;J16,F16,IF(J16&gt;I16,K16,"TIE")))</x:f>
      </x:c>
      <x:c r="O16" s="56" t="str">
        <x:f>IF(OR(I16="",J16=""),"",I16-J16)</x:f>
      </x:c>
    </x:row>
    <x:row r="17">
      <x:c r="A17" s="37" t="str">
        <x:v>RR-011</x:v>
      </x:c>
      <x:c r="B17" s="38" t="n">
        <x:v>3</x:v>
      </x:c>
      <x:c r="C17" s="38" t="str">
        <x:v>10:30 AM-10:45 AM</x:v>
      </x:c>
      <x:c r="D17" s="38" t="n">
        <x:v>1</x:v>
      </x:c>
      <x:c r="E17" s="38" t="str">
        <x:v>Novice</x:v>
      </x:c>
      <x:c r="F17" s="38" t="str">
        <x:v>O4</x:v>
      </x:c>
      <x:c r="G17" s="24" t="str">
        <x:f>IFERROR(VLOOKUP(E17&amp;"|"&amp;F17,'Pair Setup'!$A$7:$F$42,5,FALSE),"")</x:f>
      </x:c>
      <x:c r="H17" s="24" t="str">
        <x:f>IFERROR(VLOOKUP(E17&amp;"|"&amp;F17,'Pair Setup'!$A$7:$F$42,6,FALSE),"")</x:f>
      </x:c>
      <x:c r="I17" s="53" t="str"/>
      <x:c r="J17" s="53" t="str"/>
      <x:c r="K17" s="38" t="str">
        <x:v>R3</x:v>
      </x:c>
      <x:c r="L17" s="24" t="str">
        <x:f>IFERROR(VLOOKUP(E17&amp;"|"&amp;K17,'Pair Setup'!$A$7:$F$42,5,FALSE),"")</x:f>
      </x:c>
      <x:c r="M17" s="24" t="str">
        <x:f>IFERROR(VLOOKUP(E17&amp;"|"&amp;K17,'Pair Setup'!$A$7:$F$42,6,FALSE),"")</x:f>
      </x:c>
      <x:c r="N17" s="38" t="str">
        <x:f>IF(OR(I17="",J17=""),"",IF(I17&gt;J17,F17,IF(J17&gt;I17,K17,"TIE")))</x:f>
      </x:c>
      <x:c r="O17" s="56" t="str">
        <x:f>IF(OR(I17="",J17=""),"",I17-J17)</x:f>
      </x:c>
    </x:row>
    <x:row r="18">
      <x:c r="A18" s="37" t="str">
        <x:v>RR-012</x:v>
      </x:c>
      <x:c r="B18" s="38" t="n">
        <x:v>3</x:v>
      </x:c>
      <x:c r="C18" s="38" t="str">
        <x:v>10:30 AM-10:45 AM</x:v>
      </x:c>
      <x:c r="D18" s="38" t="n">
        <x:v>2</x:v>
      </x:c>
      <x:c r="E18" s="38" t="str">
        <x:v>High Intermediate</x:v>
      </x:c>
      <x:c r="F18" s="38" t="str">
        <x:v>O3</x:v>
      </x:c>
      <x:c r="G18" s="24" t="str">
        <x:f>IFERROR(VLOOKUP(E18&amp;"|"&amp;F18,'Pair Setup'!$A$7:$F$42,5,FALSE),"")</x:f>
      </x:c>
      <x:c r="H18" s="24" t="str">
        <x:f>IFERROR(VLOOKUP(E18&amp;"|"&amp;F18,'Pair Setup'!$A$7:$F$42,6,FALSE),"")</x:f>
      </x:c>
      <x:c r="I18" s="53" t="str"/>
      <x:c r="J18" s="53" t="str"/>
      <x:c r="K18" s="38" t="str">
        <x:v>R3</x:v>
      </x:c>
      <x:c r="L18" s="24" t="str">
        <x:f>IFERROR(VLOOKUP(E18&amp;"|"&amp;K18,'Pair Setup'!$A$7:$F$42,5,FALSE),"")</x:f>
      </x:c>
      <x:c r="M18" s="24" t="str">
        <x:f>IFERROR(VLOOKUP(E18&amp;"|"&amp;K18,'Pair Setup'!$A$7:$F$42,6,FALSE),"")</x:f>
      </x:c>
      <x:c r="N18" s="38" t="str">
        <x:f>IF(OR(I18="",J18=""),"",IF(I18&gt;J18,F18,IF(J18&gt;I18,K18,"TIE")))</x:f>
      </x:c>
      <x:c r="O18" s="56" t="str">
        <x:f>IF(OR(I18="",J18=""),"",I18-J18)</x:f>
      </x:c>
    </x:row>
    <x:row r="19">
      <x:c r="A19" s="37" t="str">
        <x:v>RR-013</x:v>
      </x:c>
      <x:c r="B19" s="38" t="n">
        <x:v>3</x:v>
      </x:c>
      <x:c r="C19" s="38" t="str">
        <x:v>10:30 AM-10:45 AM</x:v>
      </x:c>
      <x:c r="D19" s="38" t="n">
        <x:v>3</x:v>
      </x:c>
      <x:c r="E19" s="38" t="str">
        <x:v>Low Intermediate</x:v>
      </x:c>
      <x:c r="F19" s="38" t="str">
        <x:v>O1</x:v>
      </x:c>
      <x:c r="G19" s="24" t="str">
        <x:f>IFERROR(VLOOKUP(E19&amp;"|"&amp;F19,'Pair Setup'!$A$7:$F$42,5,FALSE),"")</x:f>
      </x:c>
      <x:c r="H19" s="24" t="str">
        <x:f>IFERROR(VLOOKUP(E19&amp;"|"&amp;F19,'Pair Setup'!$A$7:$F$42,6,FALSE),"")</x:f>
      </x:c>
      <x:c r="I19" s="53" t="str"/>
      <x:c r="J19" s="53" t="str"/>
      <x:c r="K19" s="38" t="str">
        <x:v>R2</x:v>
      </x:c>
      <x:c r="L19" s="24" t="str">
        <x:f>IFERROR(VLOOKUP(E19&amp;"|"&amp;K19,'Pair Setup'!$A$7:$F$42,5,FALSE),"")</x:f>
      </x:c>
      <x:c r="M19" s="24" t="str">
        <x:f>IFERROR(VLOOKUP(E19&amp;"|"&amp;K19,'Pair Setup'!$A$7:$F$42,6,FALSE),"")</x:f>
      </x:c>
      <x:c r="N19" s="38" t="str">
        <x:f>IF(OR(I19="",J19=""),"",IF(I19&gt;J19,F19,IF(J19&gt;I19,K19,"TIE")))</x:f>
      </x:c>
      <x:c r="O19" s="56" t="str">
        <x:f>IF(OR(I19="",J19=""),"",I19-J19)</x:f>
      </x:c>
    </x:row>
    <x:row r="20">
      <x:c r="A20" s="37" t="str">
        <x:v>RR-014</x:v>
      </x:c>
      <x:c r="B20" s="38" t="n">
        <x:v>3</x:v>
      </x:c>
      <x:c r="C20" s="38" t="str">
        <x:v>10:30 AM-10:45 AM</x:v>
      </x:c>
      <x:c r="D20" s="38" t="n">
        <x:v>4</x:v>
      </x:c>
      <x:c r="E20" s="38" t="str">
        <x:v>Novice</x:v>
      </x:c>
      <x:c r="F20" s="38" t="str">
        <x:v>O3</x:v>
      </x:c>
      <x:c r="G20" s="24" t="str">
        <x:f>IFERROR(VLOOKUP(E20&amp;"|"&amp;F20,'Pair Setup'!$A$7:$F$42,5,FALSE),"")</x:f>
      </x:c>
      <x:c r="H20" s="24" t="str">
        <x:f>IFERROR(VLOOKUP(E20&amp;"|"&amp;F20,'Pair Setup'!$A$7:$F$42,6,FALSE),"")</x:f>
      </x:c>
      <x:c r="I20" s="53" t="str"/>
      <x:c r="J20" s="53" t="str"/>
      <x:c r="K20" s="38" t="str">
        <x:v>R4</x:v>
      </x:c>
      <x:c r="L20" s="24" t="str">
        <x:f>IFERROR(VLOOKUP(E20&amp;"|"&amp;K20,'Pair Setup'!$A$7:$F$42,5,FALSE),"")</x:f>
      </x:c>
      <x:c r="M20" s="24" t="str">
        <x:f>IFERROR(VLOOKUP(E20&amp;"|"&amp;K20,'Pair Setup'!$A$7:$F$42,6,FALSE),"")</x:f>
      </x:c>
      <x:c r="N20" s="38" t="str">
        <x:f>IF(OR(I20="",J20=""),"",IF(I20&gt;J20,F20,IF(J20&gt;I20,K20,"TIE")))</x:f>
      </x:c>
      <x:c r="O20" s="56" t="str">
        <x:f>IF(OR(I20="",J20=""),"",I20-J20)</x:f>
      </x:c>
    </x:row>
    <x:row r="21">
      <x:c r="A21" s="37" t="str">
        <x:v>RR-015</x:v>
      </x:c>
      <x:c r="B21" s="38" t="n">
        <x:v>3</x:v>
      </x:c>
      <x:c r="C21" s="38" t="str">
        <x:v>10:30 AM-10:45 AM</x:v>
      </x:c>
      <x:c r="D21" s="38" t="n">
        <x:v>5</x:v>
      </x:c>
      <x:c r="E21" s="38" t="str">
        <x:v>High Intermediate</x:v>
      </x:c>
      <x:c r="F21" s="38" t="str">
        <x:v>O1</x:v>
      </x:c>
      <x:c r="G21" s="24" t="str">
        <x:f>IFERROR(VLOOKUP(E21&amp;"|"&amp;F21,'Pair Setup'!$A$7:$F$42,5,FALSE),"")</x:f>
      </x:c>
      <x:c r="H21" s="24" t="str">
        <x:f>IFERROR(VLOOKUP(E21&amp;"|"&amp;F21,'Pair Setup'!$A$7:$F$42,6,FALSE),"")</x:f>
      </x:c>
      <x:c r="I21" s="53" t="str"/>
      <x:c r="J21" s="53" t="str"/>
      <x:c r="K21" s="38" t="str">
        <x:v>R6</x:v>
      </x:c>
      <x:c r="L21" s="24" t="str">
        <x:f>IFERROR(VLOOKUP(E21&amp;"|"&amp;K21,'Pair Setup'!$A$7:$F$42,5,FALSE),"")</x:f>
      </x:c>
      <x:c r="M21" s="24" t="str">
        <x:f>IFERROR(VLOOKUP(E21&amp;"|"&amp;K21,'Pair Setup'!$A$7:$F$42,6,FALSE),"")</x:f>
      </x:c>
      <x:c r="N21" s="38" t="str">
        <x:f>IF(OR(I21="",J21=""),"",IF(I21&gt;J21,F21,IF(J21&gt;I21,K21,"TIE")))</x:f>
      </x:c>
      <x:c r="O21" s="56" t="str">
        <x:f>IF(OR(I21="",J21=""),"",I21-J21)</x:f>
      </x:c>
    </x:row>
    <x:row r="22">
      <x:c r="A22" s="37" t="str">
        <x:v>RR-016</x:v>
      </x:c>
      <x:c r="B22" s="38" t="n">
        <x:v>4</x:v>
      </x:c>
      <x:c r="C22" s="38" t="str">
        <x:v>10:45 AM-11:00 AM</x:v>
      </x:c>
      <x:c r="D22" s="38" t="n">
        <x:v>1</x:v>
      </x:c>
      <x:c r="E22" s="38" t="str">
        <x:v>High Intermediate</x:v>
      </x:c>
      <x:c r="F22" s="38" t="str">
        <x:v>O5</x:v>
      </x:c>
      <x:c r="G22" s="24" t="str">
        <x:f>IFERROR(VLOOKUP(E22&amp;"|"&amp;F22,'Pair Setup'!$A$7:$F$42,5,FALSE),"")</x:f>
      </x:c>
      <x:c r="H22" s="24" t="str">
        <x:f>IFERROR(VLOOKUP(E22&amp;"|"&amp;F22,'Pair Setup'!$A$7:$F$42,6,FALSE),"")</x:f>
      </x:c>
      <x:c r="I22" s="53" t="str"/>
      <x:c r="J22" s="53" t="str"/>
      <x:c r="K22" s="38" t="str">
        <x:v>R4</x:v>
      </x:c>
      <x:c r="L22" s="24" t="str">
        <x:f>IFERROR(VLOOKUP(E22&amp;"|"&amp;K22,'Pair Setup'!$A$7:$F$42,5,FALSE),"")</x:f>
      </x:c>
      <x:c r="M22" s="24" t="str">
        <x:f>IFERROR(VLOOKUP(E22&amp;"|"&amp;K22,'Pair Setup'!$A$7:$F$42,6,FALSE),"")</x:f>
      </x:c>
      <x:c r="N22" s="38" t="str">
        <x:f>IF(OR(I22="",J22=""),"",IF(I22&gt;J22,F22,IF(J22&gt;I22,K22,"TIE")))</x:f>
      </x:c>
      <x:c r="O22" s="56" t="str">
        <x:f>IF(OR(I22="",J22=""),"",I22-J22)</x:f>
      </x:c>
    </x:row>
    <x:row r="23">
      <x:c r="A23" s="37" t="str">
        <x:v>RR-017</x:v>
      </x:c>
      <x:c r="B23" s="38" t="n">
        <x:v>4</x:v>
      </x:c>
      <x:c r="C23" s="38" t="str">
        <x:v>10:45 AM-11:00 AM</x:v>
      </x:c>
      <x:c r="D23" s="38" t="n">
        <x:v>2</x:v>
      </x:c>
      <x:c r="E23" s="38" t="str">
        <x:v>Low Intermediate</x:v>
      </x:c>
      <x:c r="F23" s="38" t="str">
        <x:v>O4</x:v>
      </x:c>
      <x:c r="G23" s="24" t="str">
        <x:f>IFERROR(VLOOKUP(E23&amp;"|"&amp;F23,'Pair Setup'!$A$7:$F$42,5,FALSE),"")</x:f>
      </x:c>
      <x:c r="H23" s="24" t="str">
        <x:f>IFERROR(VLOOKUP(E23&amp;"|"&amp;F23,'Pair Setup'!$A$7:$F$42,6,FALSE),"")</x:f>
      </x:c>
      <x:c r="I23" s="53" t="str"/>
      <x:c r="J23" s="53" t="str"/>
      <x:c r="K23" s="38" t="str">
        <x:v>R4</x:v>
      </x:c>
      <x:c r="L23" s="24" t="str">
        <x:f>IFERROR(VLOOKUP(E23&amp;"|"&amp;K23,'Pair Setup'!$A$7:$F$42,5,FALSE),"")</x:f>
      </x:c>
      <x:c r="M23" s="24" t="str">
        <x:f>IFERROR(VLOOKUP(E23&amp;"|"&amp;K23,'Pair Setup'!$A$7:$F$42,6,FALSE),"")</x:f>
      </x:c>
      <x:c r="N23" s="38" t="str">
        <x:f>IF(OR(I23="",J23=""),"",IF(I23&gt;J23,F23,IF(J23&gt;I23,K23,"TIE")))</x:f>
      </x:c>
      <x:c r="O23" s="56" t="str">
        <x:f>IF(OR(I23="",J23=""),"",I23-J23)</x:f>
      </x:c>
    </x:row>
    <x:row r="24">
      <x:c r="A24" s="37" t="str">
        <x:v>RR-018</x:v>
      </x:c>
      <x:c r="B24" s="38" t="n">
        <x:v>4</x:v>
      </x:c>
      <x:c r="C24" s="38" t="str">
        <x:v>10:45 AM-11:00 AM</x:v>
      </x:c>
      <x:c r="D24" s="38" t="n">
        <x:v>3</x:v>
      </x:c>
      <x:c r="E24" s="38" t="str">
        <x:v>Novice</x:v>
      </x:c>
      <x:c r="F24" s="38" t="str">
        <x:v>O5</x:v>
      </x:c>
      <x:c r="G24" s="24" t="str">
        <x:f>IFERROR(VLOOKUP(E24&amp;"|"&amp;F24,'Pair Setup'!$A$7:$F$42,5,FALSE),"")</x:f>
      </x:c>
      <x:c r="H24" s="24" t="str">
        <x:f>IFERROR(VLOOKUP(E24&amp;"|"&amp;F24,'Pair Setup'!$A$7:$F$42,6,FALSE),"")</x:f>
      </x:c>
      <x:c r="I24" s="53" t="str"/>
      <x:c r="J24" s="53" t="str"/>
      <x:c r="K24" s="38" t="str">
        <x:v>R6</x:v>
      </x:c>
      <x:c r="L24" s="24" t="str">
        <x:f>IFERROR(VLOOKUP(E24&amp;"|"&amp;K24,'Pair Setup'!$A$7:$F$42,5,FALSE),"")</x:f>
      </x:c>
      <x:c r="M24" s="24" t="str">
        <x:f>IFERROR(VLOOKUP(E24&amp;"|"&amp;K24,'Pair Setup'!$A$7:$F$42,6,FALSE),"")</x:f>
      </x:c>
      <x:c r="N24" s="38" t="str">
        <x:f>IF(OR(I24="",J24=""),"",IF(I24&gt;J24,F24,IF(J24&gt;I24,K24,"TIE")))</x:f>
      </x:c>
      <x:c r="O24" s="56" t="str">
        <x:f>IF(OR(I24="",J24=""),"",I24-J24)</x:f>
      </x:c>
    </x:row>
    <x:row r="25">
      <x:c r="A25" s="37" t="str">
        <x:v>RR-019</x:v>
      </x:c>
      <x:c r="B25" s="38" t="n">
        <x:v>4</x:v>
      </x:c>
      <x:c r="C25" s="38" t="str">
        <x:v>10:45 AM-11:00 AM</x:v>
      </x:c>
      <x:c r="D25" s="38" t="n">
        <x:v>4</x:v>
      </x:c>
      <x:c r="E25" s="38" t="str">
        <x:v>Novice</x:v>
      </x:c>
      <x:c r="F25" s="38" t="str">
        <x:v>O2</x:v>
      </x:c>
      <x:c r="G25" s="24" t="str">
        <x:f>IFERROR(VLOOKUP(E25&amp;"|"&amp;F25,'Pair Setup'!$A$7:$F$42,5,FALSE),"")</x:f>
      </x:c>
      <x:c r="H25" s="24" t="str">
        <x:f>IFERROR(VLOOKUP(E25&amp;"|"&amp;F25,'Pair Setup'!$A$7:$F$42,6,FALSE),"")</x:f>
      </x:c>
      <x:c r="I25" s="53" t="str"/>
      <x:c r="J25" s="53" t="str"/>
      <x:c r="K25" s="38" t="str">
        <x:v>R2</x:v>
      </x:c>
      <x:c r="L25" s="24" t="str">
        <x:f>IFERROR(VLOOKUP(E25&amp;"|"&amp;K25,'Pair Setup'!$A$7:$F$42,5,FALSE),"")</x:f>
      </x:c>
      <x:c r="M25" s="24" t="str">
        <x:f>IFERROR(VLOOKUP(E25&amp;"|"&amp;K25,'Pair Setup'!$A$7:$F$42,6,FALSE),"")</x:f>
      </x:c>
      <x:c r="N25" s="38" t="str">
        <x:f>IF(OR(I25="",J25=""),"",IF(I25&gt;J25,F25,IF(J25&gt;I25,K25,"TIE")))</x:f>
      </x:c>
      <x:c r="O25" s="56" t="str">
        <x:f>IF(OR(I25="",J25=""),"",I25-J25)</x:f>
      </x:c>
    </x:row>
    <x:row r="26">
      <x:c r="A26" s="37" t="str">
        <x:v>RR-020</x:v>
      </x:c>
      <x:c r="B26" s="38" t="n">
        <x:v>4</x:v>
      </x:c>
      <x:c r="C26" s="38" t="str">
        <x:v>10:45 AM-11:00 AM</x:v>
      </x:c>
      <x:c r="D26" s="38" t="n">
        <x:v>5</x:v>
      </x:c>
      <x:c r="E26" s="38" t="str">
        <x:v>High Intermediate</x:v>
      </x:c>
      <x:c r="F26" s="38" t="str">
        <x:v>O4</x:v>
      </x:c>
      <x:c r="G26" s="24" t="str">
        <x:f>IFERROR(VLOOKUP(E26&amp;"|"&amp;F26,'Pair Setup'!$A$7:$F$42,5,FALSE),"")</x:f>
      </x:c>
      <x:c r="H26" s="24" t="str">
        <x:f>IFERROR(VLOOKUP(E26&amp;"|"&amp;F26,'Pair Setup'!$A$7:$F$42,6,FALSE),"")</x:f>
      </x:c>
      <x:c r="I26" s="53" t="str"/>
      <x:c r="J26" s="53" t="str"/>
      <x:c r="K26" s="38" t="str">
        <x:v>R5</x:v>
      </x:c>
      <x:c r="L26" s="24" t="str">
        <x:f>IFERROR(VLOOKUP(E26&amp;"|"&amp;K26,'Pair Setup'!$A$7:$F$42,5,FALSE),"")</x:f>
      </x:c>
      <x:c r="M26" s="24" t="str">
        <x:f>IFERROR(VLOOKUP(E26&amp;"|"&amp;K26,'Pair Setup'!$A$7:$F$42,6,FALSE),"")</x:f>
      </x:c>
      <x:c r="N26" s="38" t="str">
        <x:f>IF(OR(I26="",J26=""),"",IF(I26&gt;J26,F26,IF(J26&gt;I26,K26,"TIE")))</x:f>
      </x:c>
      <x:c r="O26" s="56" t="str">
        <x:f>IF(OR(I26="",J26=""),"",I26-J26)</x:f>
      </x:c>
    </x:row>
    <x:row r="27">
      <x:c r="A27" s="37" t="str">
        <x:v>RR-021</x:v>
      </x:c>
      <x:c r="B27" s="38" t="n">
        <x:v>5</x:v>
      </x:c>
      <x:c r="C27" s="38" t="str">
        <x:v>11:00 AM-11:15 AM</x:v>
      </x:c>
      <x:c r="D27" s="38" t="n">
        <x:v>1</x:v>
      </x:c>
      <x:c r="E27" s="38" t="str">
        <x:v>Low Intermediate</x:v>
      </x:c>
      <x:c r="F27" s="38" t="str">
        <x:v>O6</x:v>
      </x:c>
      <x:c r="G27" s="24" t="str">
        <x:f>IFERROR(VLOOKUP(E27&amp;"|"&amp;F27,'Pair Setup'!$A$7:$F$42,5,FALSE),"")</x:f>
      </x:c>
      <x:c r="H27" s="24" t="str">
        <x:f>IFERROR(VLOOKUP(E27&amp;"|"&amp;F27,'Pair Setup'!$A$7:$F$42,6,FALSE),"")</x:f>
      </x:c>
      <x:c r="I27" s="53" t="str"/>
      <x:c r="J27" s="53" t="str"/>
      <x:c r="K27" s="38" t="str">
        <x:v>R1</x:v>
      </x:c>
      <x:c r="L27" s="24" t="str">
        <x:f>IFERROR(VLOOKUP(E27&amp;"|"&amp;K27,'Pair Setup'!$A$7:$F$42,5,FALSE),"")</x:f>
      </x:c>
      <x:c r="M27" s="24" t="str">
        <x:f>IFERROR(VLOOKUP(E27&amp;"|"&amp;K27,'Pair Setup'!$A$7:$F$42,6,FALSE),"")</x:f>
      </x:c>
      <x:c r="N27" s="38" t="str">
        <x:f>IF(OR(I27="",J27=""),"",IF(I27&gt;J27,F27,IF(J27&gt;I27,K27,"TIE")))</x:f>
      </x:c>
      <x:c r="O27" s="56" t="str">
        <x:f>IF(OR(I27="",J27=""),"",I27-J27)</x:f>
      </x:c>
    </x:row>
    <x:row r="28">
      <x:c r="A28" s="37" t="str">
        <x:v>RR-022</x:v>
      </x:c>
      <x:c r="B28" s="38" t="n">
        <x:v>5</x:v>
      </x:c>
      <x:c r="C28" s="38" t="str">
        <x:v>11:00 AM-11:15 AM</x:v>
      </x:c>
      <x:c r="D28" s="38" t="n">
        <x:v>2</x:v>
      </x:c>
      <x:c r="E28" s="38" t="str">
        <x:v>Novice</x:v>
      </x:c>
      <x:c r="F28" s="38" t="str">
        <x:v>O3</x:v>
      </x:c>
      <x:c r="G28" s="24" t="str">
        <x:f>IFERROR(VLOOKUP(E28&amp;"|"&amp;F28,'Pair Setup'!$A$7:$F$42,5,FALSE),"")</x:f>
      </x:c>
      <x:c r="H28" s="24" t="str">
        <x:f>IFERROR(VLOOKUP(E28&amp;"|"&amp;F28,'Pair Setup'!$A$7:$F$42,6,FALSE),"")</x:f>
      </x:c>
      <x:c r="I28" s="53" t="str"/>
      <x:c r="J28" s="53" t="str"/>
      <x:c r="K28" s="38" t="str">
        <x:v>R1</x:v>
      </x:c>
      <x:c r="L28" s="24" t="str">
        <x:f>IFERROR(VLOOKUP(E28&amp;"|"&amp;K28,'Pair Setup'!$A$7:$F$42,5,FALSE),"")</x:f>
      </x:c>
      <x:c r="M28" s="24" t="str">
        <x:f>IFERROR(VLOOKUP(E28&amp;"|"&amp;K28,'Pair Setup'!$A$7:$F$42,6,FALSE),"")</x:f>
      </x:c>
      <x:c r="N28" s="38" t="str">
        <x:f>IF(OR(I28="",J28=""),"",IF(I28&gt;J28,F28,IF(J28&gt;I28,K28,"TIE")))</x:f>
      </x:c>
      <x:c r="O28" s="56" t="str">
        <x:f>IF(OR(I28="",J28=""),"",I28-J28)</x:f>
      </x:c>
    </x:row>
    <x:row r="29">
      <x:c r="A29" s="37" t="str">
        <x:v>RR-023</x:v>
      </x:c>
      <x:c r="B29" s="38" t="n">
        <x:v>5</x:v>
      </x:c>
      <x:c r="C29" s="38" t="str">
        <x:v>11:00 AM-11:15 AM</x:v>
      </x:c>
      <x:c r="D29" s="38" t="n">
        <x:v>3</x:v>
      </x:c>
      <x:c r="E29" s="38" t="str">
        <x:v>High Intermediate</x:v>
      </x:c>
      <x:c r="F29" s="38" t="str">
        <x:v>O1</x:v>
      </x:c>
      <x:c r="G29" s="24" t="str">
        <x:f>IFERROR(VLOOKUP(E29&amp;"|"&amp;F29,'Pair Setup'!$A$7:$F$42,5,FALSE),"")</x:f>
      </x:c>
      <x:c r="H29" s="24" t="str">
        <x:f>IFERROR(VLOOKUP(E29&amp;"|"&amp;F29,'Pair Setup'!$A$7:$F$42,6,FALSE),"")</x:f>
      </x:c>
      <x:c r="I29" s="53" t="str"/>
      <x:c r="J29" s="53" t="str"/>
      <x:c r="K29" s="38" t="str">
        <x:v>R2</x:v>
      </x:c>
      <x:c r="L29" s="24" t="str">
        <x:f>IFERROR(VLOOKUP(E29&amp;"|"&amp;K29,'Pair Setup'!$A$7:$F$42,5,FALSE),"")</x:f>
      </x:c>
      <x:c r="M29" s="24" t="str">
        <x:f>IFERROR(VLOOKUP(E29&amp;"|"&amp;K29,'Pair Setup'!$A$7:$F$42,6,FALSE),"")</x:f>
      </x:c>
      <x:c r="N29" s="38" t="str">
        <x:f>IF(OR(I29="",J29=""),"",IF(I29&gt;J29,F29,IF(J29&gt;I29,K29,"TIE")))</x:f>
      </x:c>
      <x:c r="O29" s="56" t="str">
        <x:f>IF(OR(I29="",J29=""),"",I29-J29)</x:f>
      </x:c>
    </x:row>
    <x:row r="30">
      <x:c r="A30" s="37" t="str">
        <x:v>RR-024</x:v>
      </x:c>
      <x:c r="B30" s="38" t="n">
        <x:v>5</x:v>
      </x:c>
      <x:c r="C30" s="38" t="str">
        <x:v>11:00 AM-11:15 AM</x:v>
      </x:c>
      <x:c r="D30" s="38" t="n">
        <x:v>4</x:v>
      </x:c>
      <x:c r="E30" s="38" t="str">
        <x:v>Low Intermediate</x:v>
      </x:c>
      <x:c r="F30" s="38" t="str">
        <x:v>O2</x:v>
      </x:c>
      <x:c r="G30" s="24" t="str">
        <x:f>IFERROR(VLOOKUP(E30&amp;"|"&amp;F30,'Pair Setup'!$A$7:$F$42,5,FALSE),"")</x:f>
      </x:c>
      <x:c r="H30" s="24" t="str">
        <x:f>IFERROR(VLOOKUP(E30&amp;"|"&amp;F30,'Pair Setup'!$A$7:$F$42,6,FALSE),"")</x:f>
      </x:c>
      <x:c r="I30" s="53" t="str"/>
      <x:c r="J30" s="53" t="str"/>
      <x:c r="K30" s="38" t="str">
        <x:v>R3</x:v>
      </x:c>
      <x:c r="L30" s="24" t="str">
        <x:f>IFERROR(VLOOKUP(E30&amp;"|"&amp;K30,'Pair Setup'!$A$7:$F$42,5,FALSE),"")</x:f>
      </x:c>
      <x:c r="M30" s="24" t="str">
        <x:f>IFERROR(VLOOKUP(E30&amp;"|"&amp;K30,'Pair Setup'!$A$7:$F$42,6,FALSE),"")</x:f>
      </x:c>
      <x:c r="N30" s="38" t="str">
        <x:f>IF(OR(I30="",J30=""),"",IF(I30&gt;J30,F30,IF(J30&gt;I30,K30,"TIE")))</x:f>
      </x:c>
      <x:c r="O30" s="56" t="str">
        <x:f>IF(OR(I30="",J30=""),"",I30-J30)</x:f>
      </x:c>
    </x:row>
    <x:row r="31">
      <x:c r="A31" s="37" t="str">
        <x:v>RR-025</x:v>
      </x:c>
      <x:c r="B31" s="38" t="n">
        <x:v>5</x:v>
      </x:c>
      <x:c r="C31" s="38" t="str">
        <x:v>11:00 AM-11:15 AM</x:v>
      </x:c>
      <x:c r="D31" s="38" t="n">
        <x:v>5</x:v>
      </x:c>
      <x:c r="E31" s="38" t="str">
        <x:v>High Intermediate</x:v>
      </x:c>
      <x:c r="F31" s="38" t="str">
        <x:v>O2</x:v>
      </x:c>
      <x:c r="G31" s="24" t="str">
        <x:f>IFERROR(VLOOKUP(E31&amp;"|"&amp;F31,'Pair Setup'!$A$7:$F$42,5,FALSE),"")</x:f>
      </x:c>
      <x:c r="H31" s="24" t="str">
        <x:f>IFERROR(VLOOKUP(E31&amp;"|"&amp;F31,'Pair Setup'!$A$7:$F$42,6,FALSE),"")</x:f>
      </x:c>
      <x:c r="I31" s="53" t="str"/>
      <x:c r="J31" s="53" t="str"/>
      <x:c r="K31" s="38" t="str">
        <x:v>R6</x:v>
      </x:c>
      <x:c r="L31" s="24" t="str">
        <x:f>IFERROR(VLOOKUP(E31&amp;"|"&amp;K31,'Pair Setup'!$A$7:$F$42,5,FALSE),"")</x:f>
      </x:c>
      <x:c r="M31" s="24" t="str">
        <x:f>IFERROR(VLOOKUP(E31&amp;"|"&amp;K31,'Pair Setup'!$A$7:$F$42,6,FALSE),"")</x:f>
      </x:c>
      <x:c r="N31" s="38" t="str">
        <x:f>IF(OR(I31="",J31=""),"",IF(I31&gt;J31,F31,IF(J31&gt;I31,K31,"TIE")))</x:f>
      </x:c>
      <x:c r="O31" s="56" t="str">
        <x:f>IF(OR(I31="",J31=""),"",I31-J31)</x:f>
      </x:c>
    </x:row>
    <x:row r="32">
      <x:c r="A32" s="37" t="str">
        <x:v>RR-026</x:v>
      </x:c>
      <x:c r="B32" s="38" t="n">
        <x:v>6</x:v>
      </x:c>
      <x:c r="C32" s="38" t="str">
        <x:v>11:15 AM-11:30 AM</x:v>
      </x:c>
      <x:c r="D32" s="38" t="n">
        <x:v>1</x:v>
      </x:c>
      <x:c r="E32" s="38" t="str">
        <x:v>Novice</x:v>
      </x:c>
      <x:c r="F32" s="38" t="str">
        <x:v>O6</x:v>
      </x:c>
      <x:c r="G32" s="24" t="str">
        <x:f>IFERROR(VLOOKUP(E32&amp;"|"&amp;F32,'Pair Setup'!$A$7:$F$42,5,FALSE),"")</x:f>
      </x:c>
      <x:c r="H32" s="24" t="str">
        <x:f>IFERROR(VLOOKUP(E32&amp;"|"&amp;F32,'Pair Setup'!$A$7:$F$42,6,FALSE),"")</x:f>
      </x:c>
      <x:c r="I32" s="53" t="str"/>
      <x:c r="J32" s="53" t="str"/>
      <x:c r="K32" s="38" t="str">
        <x:v>R6</x:v>
      </x:c>
      <x:c r="L32" s="24" t="str">
        <x:f>IFERROR(VLOOKUP(E32&amp;"|"&amp;K32,'Pair Setup'!$A$7:$F$42,5,FALSE),"")</x:f>
      </x:c>
      <x:c r="M32" s="24" t="str">
        <x:f>IFERROR(VLOOKUP(E32&amp;"|"&amp;K32,'Pair Setup'!$A$7:$F$42,6,FALSE),"")</x:f>
      </x:c>
      <x:c r="N32" s="38" t="str">
        <x:f>IF(OR(I32="",J32=""),"",IF(I32&gt;J32,F32,IF(J32&gt;I32,K32,"TIE")))</x:f>
      </x:c>
      <x:c r="O32" s="56" t="str">
        <x:f>IF(OR(I32="",J32=""),"",I32-J32)</x:f>
      </x:c>
    </x:row>
    <x:row r="33">
      <x:c r="A33" s="37" t="str">
        <x:v>RR-027</x:v>
      </x:c>
      <x:c r="B33" s="38" t="n">
        <x:v>6</x:v>
      </x:c>
      <x:c r="C33" s="38" t="str">
        <x:v>11:15 AM-11:30 AM</x:v>
      </x:c>
      <x:c r="D33" s="38" t="n">
        <x:v>2</x:v>
      </x:c>
      <x:c r="E33" s="38" t="str">
        <x:v>Low Intermediate</x:v>
      </x:c>
      <x:c r="F33" s="38" t="str">
        <x:v>O3</x:v>
      </x:c>
      <x:c r="G33" s="24" t="str">
        <x:f>IFERROR(VLOOKUP(E33&amp;"|"&amp;F33,'Pair Setup'!$A$7:$F$42,5,FALSE),"")</x:f>
      </x:c>
      <x:c r="H33" s="24" t="str">
        <x:f>IFERROR(VLOOKUP(E33&amp;"|"&amp;F33,'Pair Setup'!$A$7:$F$42,6,FALSE),"")</x:f>
      </x:c>
      <x:c r="I33" s="53" t="str"/>
      <x:c r="J33" s="53" t="str"/>
      <x:c r="K33" s="38" t="str">
        <x:v>R6</x:v>
      </x:c>
      <x:c r="L33" s="24" t="str">
        <x:f>IFERROR(VLOOKUP(E33&amp;"|"&amp;K33,'Pair Setup'!$A$7:$F$42,5,FALSE),"")</x:f>
      </x:c>
      <x:c r="M33" s="24" t="str">
        <x:f>IFERROR(VLOOKUP(E33&amp;"|"&amp;K33,'Pair Setup'!$A$7:$F$42,6,FALSE),"")</x:f>
      </x:c>
      <x:c r="N33" s="38" t="str">
        <x:f>IF(OR(I33="",J33=""),"",IF(I33&gt;J33,F33,IF(J33&gt;I33,K33,"TIE")))</x:f>
      </x:c>
      <x:c r="O33" s="56" t="str">
        <x:f>IF(OR(I33="",J33=""),"",I33-J33)</x:f>
      </x:c>
    </x:row>
    <x:row r="34">
      <x:c r="A34" s="37" t="str">
        <x:v>RR-028</x:v>
      </x:c>
      <x:c r="B34" s="38" t="n">
        <x:v>6</x:v>
      </x:c>
      <x:c r="C34" s="38" t="str">
        <x:v>11:15 AM-11:30 AM</x:v>
      </x:c>
      <x:c r="D34" s="38" t="n">
        <x:v>3</x:v>
      </x:c>
      <x:c r="E34" s="38" t="str">
        <x:v>High Intermediate</x:v>
      </x:c>
      <x:c r="F34" s="38" t="str">
        <x:v>O6</x:v>
      </x:c>
      <x:c r="G34" s="24" t="str">
        <x:f>IFERROR(VLOOKUP(E34&amp;"|"&amp;F34,'Pair Setup'!$A$7:$F$42,5,FALSE),"")</x:f>
      </x:c>
      <x:c r="H34" s="24" t="str">
        <x:f>IFERROR(VLOOKUP(E34&amp;"|"&amp;F34,'Pair Setup'!$A$7:$F$42,6,FALSE),"")</x:f>
      </x:c>
      <x:c r="I34" s="53" t="str"/>
      <x:c r="J34" s="53" t="str"/>
      <x:c r="K34" s="38" t="str">
        <x:v>R4</x:v>
      </x:c>
      <x:c r="L34" s="24" t="str">
        <x:f>IFERROR(VLOOKUP(E34&amp;"|"&amp;K34,'Pair Setup'!$A$7:$F$42,5,FALSE),"")</x:f>
      </x:c>
      <x:c r="M34" s="24" t="str">
        <x:f>IFERROR(VLOOKUP(E34&amp;"|"&amp;K34,'Pair Setup'!$A$7:$F$42,6,FALSE),"")</x:f>
      </x:c>
      <x:c r="N34" s="38" t="str">
        <x:f>IF(OR(I34="",J34=""),"",IF(I34&gt;J34,F34,IF(J34&gt;I34,K34,"TIE")))</x:f>
      </x:c>
      <x:c r="O34" s="56" t="str">
        <x:f>IF(OR(I34="",J34=""),"",I34-J34)</x:f>
      </x:c>
    </x:row>
    <x:row r="35">
      <x:c r="A35" s="37" t="str">
        <x:v>RR-029</x:v>
      </x:c>
      <x:c r="B35" s="38" t="n">
        <x:v>6</x:v>
      </x:c>
      <x:c r="C35" s="38" t="str">
        <x:v>11:15 AM-11:30 AM</x:v>
      </x:c>
      <x:c r="D35" s="38" t="n">
        <x:v>4</x:v>
      </x:c>
      <x:c r="E35" s="38" t="str">
        <x:v>Novice</x:v>
      </x:c>
      <x:c r="F35" s="38" t="str">
        <x:v>O5</x:v>
      </x:c>
      <x:c r="G35" s="24" t="str">
        <x:f>IFERROR(VLOOKUP(E35&amp;"|"&amp;F35,'Pair Setup'!$A$7:$F$42,5,FALSE),"")</x:f>
      </x:c>
      <x:c r="H35" s="24" t="str">
        <x:f>IFERROR(VLOOKUP(E35&amp;"|"&amp;F35,'Pair Setup'!$A$7:$F$42,6,FALSE),"")</x:f>
      </x:c>
      <x:c r="I35" s="53" t="str"/>
      <x:c r="J35" s="53" t="str"/>
      <x:c r="K35" s="38" t="str">
        <x:v>R4</x:v>
      </x:c>
      <x:c r="L35" s="24" t="str">
        <x:f>IFERROR(VLOOKUP(E35&amp;"|"&amp;K35,'Pair Setup'!$A$7:$F$42,5,FALSE),"")</x:f>
      </x:c>
      <x:c r="M35" s="24" t="str">
        <x:f>IFERROR(VLOOKUP(E35&amp;"|"&amp;K35,'Pair Setup'!$A$7:$F$42,6,FALSE),"")</x:f>
      </x:c>
      <x:c r="N35" s="38" t="str">
        <x:f>IF(OR(I35="",J35=""),"",IF(I35&gt;J35,F35,IF(J35&gt;I35,K35,"TIE")))</x:f>
      </x:c>
      <x:c r="O35" s="56" t="str">
        <x:f>IF(OR(I35="",J35=""),"",I35-J35)</x:f>
      </x:c>
    </x:row>
    <x:row r="36">
      <x:c r="A36" s="37" t="str">
        <x:v>RR-030</x:v>
      </x:c>
      <x:c r="B36" s="38" t="n">
        <x:v>6</x:v>
      </x:c>
      <x:c r="C36" s="38" t="str">
        <x:v>11:15 AM-11:30 AM</x:v>
      </x:c>
      <x:c r="D36" s="38" t="n">
        <x:v>5</x:v>
      </x:c>
      <x:c r="E36" s="38" t="str">
        <x:v>Low Intermediate</x:v>
      </x:c>
      <x:c r="F36" s="38" t="str">
        <x:v>O4</x:v>
      </x:c>
      <x:c r="G36" s="24" t="str">
        <x:f>IFERROR(VLOOKUP(E36&amp;"|"&amp;F36,'Pair Setup'!$A$7:$F$42,5,FALSE),"")</x:f>
      </x:c>
      <x:c r="H36" s="24" t="str">
        <x:f>IFERROR(VLOOKUP(E36&amp;"|"&amp;F36,'Pair Setup'!$A$7:$F$42,6,FALSE),"")</x:f>
      </x:c>
      <x:c r="I36" s="53" t="str"/>
      <x:c r="J36" s="53" t="str"/>
      <x:c r="K36" s="38" t="str">
        <x:v>R2</x:v>
      </x:c>
      <x:c r="L36" s="24" t="str">
        <x:f>IFERROR(VLOOKUP(E36&amp;"|"&amp;K36,'Pair Setup'!$A$7:$F$42,5,FALSE),"")</x:f>
      </x:c>
      <x:c r="M36" s="24" t="str">
        <x:f>IFERROR(VLOOKUP(E36&amp;"|"&amp;K36,'Pair Setup'!$A$7:$F$42,6,FALSE),"")</x:f>
      </x:c>
      <x:c r="N36" s="38" t="str">
        <x:f>IF(OR(I36="",J36=""),"",IF(I36&gt;J36,F36,IF(J36&gt;I36,K36,"TIE")))</x:f>
      </x:c>
      <x:c r="O36" s="56" t="str">
        <x:f>IF(OR(I36="",J36=""),"",I36-J36)</x:f>
      </x:c>
    </x:row>
    <x:row r="37">
      <x:c r="A37" s="37" t="str">
        <x:v>RR-031</x:v>
      </x:c>
      <x:c r="B37" s="38" t="n">
        <x:v>7</x:v>
      </x:c>
      <x:c r="C37" s="38" t="str">
        <x:v>11:30 AM-11:45 AM</x:v>
      </x:c>
      <x:c r="D37" s="38" t="n">
        <x:v>1</x:v>
      </x:c>
      <x:c r="E37" s="38" t="str">
        <x:v>Novice</x:v>
      </x:c>
      <x:c r="F37" s="38" t="str">
        <x:v>O4</x:v>
      </x:c>
      <x:c r="G37" s="24" t="str">
        <x:f>IFERROR(VLOOKUP(E37&amp;"|"&amp;F37,'Pair Setup'!$A$7:$F$42,5,FALSE),"")</x:f>
      </x:c>
      <x:c r="H37" s="24" t="str">
        <x:f>IFERROR(VLOOKUP(E37&amp;"|"&amp;F37,'Pair Setup'!$A$7:$F$42,6,FALSE),"")</x:f>
      </x:c>
      <x:c r="I37" s="53" t="str"/>
      <x:c r="J37" s="53" t="str"/>
      <x:c r="K37" s="38" t="str">
        <x:v>R1</x:v>
      </x:c>
      <x:c r="L37" s="24" t="str">
        <x:f>IFERROR(VLOOKUP(E37&amp;"|"&amp;K37,'Pair Setup'!$A$7:$F$42,5,FALSE),"")</x:f>
      </x:c>
      <x:c r="M37" s="24" t="str">
        <x:f>IFERROR(VLOOKUP(E37&amp;"|"&amp;K37,'Pair Setup'!$A$7:$F$42,6,FALSE),"")</x:f>
      </x:c>
      <x:c r="N37" s="38" t="str">
        <x:f>IF(OR(I37="",J37=""),"",IF(I37&gt;J37,F37,IF(J37&gt;I37,K37,"TIE")))</x:f>
      </x:c>
      <x:c r="O37" s="56" t="str">
        <x:f>IF(OR(I37="",J37=""),"",I37-J37)</x:f>
      </x:c>
    </x:row>
    <x:row r="38">
      <x:c r="A38" s="37" t="str">
        <x:v>RR-032</x:v>
      </x:c>
      <x:c r="B38" s="38" t="n">
        <x:v>7</x:v>
      </x:c>
      <x:c r="C38" s="38" t="str">
        <x:v>11:30 AM-11:45 AM</x:v>
      </x:c>
      <x:c r="D38" s="38" t="n">
        <x:v>2</x:v>
      </x:c>
      <x:c r="E38" s="38" t="str">
        <x:v>Low Intermediate</x:v>
      </x:c>
      <x:c r="F38" s="38" t="str">
        <x:v>O1</x:v>
      </x:c>
      <x:c r="G38" s="24" t="str">
        <x:f>IFERROR(VLOOKUP(E38&amp;"|"&amp;F38,'Pair Setup'!$A$7:$F$42,5,FALSE),"")</x:f>
      </x:c>
      <x:c r="H38" s="24" t="str">
        <x:f>IFERROR(VLOOKUP(E38&amp;"|"&amp;F38,'Pair Setup'!$A$7:$F$42,6,FALSE),"")</x:f>
      </x:c>
      <x:c r="I38" s="53" t="str"/>
      <x:c r="J38" s="53" t="str"/>
      <x:c r="K38" s="38" t="str">
        <x:v>R1</x:v>
      </x:c>
      <x:c r="L38" s="24" t="str">
        <x:f>IFERROR(VLOOKUP(E38&amp;"|"&amp;K38,'Pair Setup'!$A$7:$F$42,5,FALSE),"")</x:f>
      </x:c>
      <x:c r="M38" s="24" t="str">
        <x:f>IFERROR(VLOOKUP(E38&amp;"|"&amp;K38,'Pair Setup'!$A$7:$F$42,6,FALSE),"")</x:f>
      </x:c>
      <x:c r="N38" s="38" t="str">
        <x:f>IF(OR(I38="",J38=""),"",IF(I38&gt;J38,F38,IF(J38&gt;I38,K38,"TIE")))</x:f>
      </x:c>
      <x:c r="O38" s="56" t="str">
        <x:f>IF(OR(I38="",J38=""),"",I38-J38)</x:f>
      </x:c>
    </x:row>
    <x:row r="39">
      <x:c r="A39" s="37" t="str">
        <x:v>RR-033</x:v>
      </x:c>
      <x:c r="B39" s="38" t="n">
        <x:v>7</x:v>
      </x:c>
      <x:c r="C39" s="38" t="str">
        <x:v>11:30 AM-11:45 AM</x:v>
      </x:c>
      <x:c r="D39" s="38" t="n">
        <x:v>3</x:v>
      </x:c>
      <x:c r="E39" s="38" t="str">
        <x:v>High Intermediate</x:v>
      </x:c>
      <x:c r="F39" s="38" t="str">
        <x:v>O2</x:v>
      </x:c>
      <x:c r="G39" s="24" t="str">
        <x:f>IFERROR(VLOOKUP(E39&amp;"|"&amp;F39,'Pair Setup'!$A$7:$F$42,5,FALSE),"")</x:f>
      </x:c>
      <x:c r="H39" s="24" t="str">
        <x:f>IFERROR(VLOOKUP(E39&amp;"|"&amp;F39,'Pair Setup'!$A$7:$F$42,6,FALSE),"")</x:f>
      </x:c>
      <x:c r="I39" s="53" t="str"/>
      <x:c r="J39" s="53" t="str"/>
      <x:c r="K39" s="38" t="str">
        <x:v>R2</x:v>
      </x:c>
      <x:c r="L39" s="24" t="str">
        <x:f>IFERROR(VLOOKUP(E39&amp;"|"&amp;K39,'Pair Setup'!$A$7:$F$42,5,FALSE),"")</x:f>
      </x:c>
      <x:c r="M39" s="24" t="str">
        <x:f>IFERROR(VLOOKUP(E39&amp;"|"&amp;K39,'Pair Setup'!$A$7:$F$42,6,FALSE),"")</x:f>
      </x:c>
      <x:c r="N39" s="38" t="str">
        <x:f>IF(OR(I39="",J39=""),"",IF(I39&gt;J39,F39,IF(J39&gt;I39,K39,"TIE")))</x:f>
      </x:c>
      <x:c r="O39" s="56" t="str">
        <x:f>IF(OR(I39="",J39=""),"",I39-J39)</x:f>
      </x:c>
    </x:row>
    <x:row r="40">
      <x:c r="A40" s="37" t="str">
        <x:v>RR-034</x:v>
      </x:c>
      <x:c r="B40" s="38" t="n">
        <x:v>7</x:v>
      </x:c>
      <x:c r="C40" s="38" t="str">
        <x:v>11:30 AM-11:45 AM</x:v>
      </x:c>
      <x:c r="D40" s="38" t="n">
        <x:v>4</x:v>
      </x:c>
      <x:c r="E40" s="38" t="str">
        <x:v>Novice</x:v>
      </x:c>
      <x:c r="F40" s="38" t="str">
        <x:v>O1</x:v>
      </x:c>
      <x:c r="G40" s="24" t="str">
        <x:f>IFERROR(VLOOKUP(E40&amp;"|"&amp;F40,'Pair Setup'!$A$7:$F$42,5,FALSE),"")</x:f>
      </x:c>
      <x:c r="H40" s="24" t="str">
        <x:f>IFERROR(VLOOKUP(E40&amp;"|"&amp;F40,'Pair Setup'!$A$7:$F$42,6,FALSE),"")</x:f>
      </x:c>
      <x:c r="I40" s="53" t="str"/>
      <x:c r="J40" s="53" t="str"/>
      <x:c r="K40" s="38" t="str">
        <x:v>R3</x:v>
      </x:c>
      <x:c r="L40" s="24" t="str">
        <x:f>IFERROR(VLOOKUP(E40&amp;"|"&amp;K40,'Pair Setup'!$A$7:$F$42,5,FALSE),"")</x:f>
      </x:c>
      <x:c r="M40" s="24" t="str">
        <x:f>IFERROR(VLOOKUP(E40&amp;"|"&amp;K40,'Pair Setup'!$A$7:$F$42,6,FALSE),"")</x:f>
      </x:c>
      <x:c r="N40" s="38" t="str">
        <x:f>IF(OR(I40="",J40=""),"",IF(I40&gt;J40,F40,IF(J40&gt;I40,K40,"TIE")))</x:f>
      </x:c>
      <x:c r="O40" s="56" t="str">
        <x:f>IF(OR(I40="",J40=""),"",I40-J40)</x:f>
      </x:c>
    </x:row>
    <x:row r="41">
      <x:c r="A41" s="37" t="str">
        <x:v>RR-035</x:v>
      </x:c>
      <x:c r="B41" s="38" t="n">
        <x:v>7</x:v>
      </x:c>
      <x:c r="C41" s="38" t="str">
        <x:v>11:30 AM-11:45 AM</x:v>
      </x:c>
      <x:c r="D41" s="38" t="n">
        <x:v>5</x:v>
      </x:c>
      <x:c r="E41" s="38" t="str">
        <x:v>Low Intermediate</x:v>
      </x:c>
      <x:c r="F41" s="38" t="str">
        <x:v>O6</x:v>
      </x:c>
      <x:c r="G41" s="24" t="str">
        <x:f>IFERROR(VLOOKUP(E41&amp;"|"&amp;F41,'Pair Setup'!$A$7:$F$42,5,FALSE),"")</x:f>
      </x:c>
      <x:c r="H41" s="24" t="str">
        <x:f>IFERROR(VLOOKUP(E41&amp;"|"&amp;F41,'Pair Setup'!$A$7:$F$42,6,FALSE),"")</x:f>
      </x:c>
      <x:c r="I41" s="53" t="str"/>
      <x:c r="J41" s="53" t="str"/>
      <x:c r="K41" s="38" t="str">
        <x:v>R5</x:v>
      </x:c>
      <x:c r="L41" s="24" t="str">
        <x:f>IFERROR(VLOOKUP(E41&amp;"|"&amp;K41,'Pair Setup'!$A$7:$F$42,5,FALSE),"")</x:f>
      </x:c>
      <x:c r="M41" s="24" t="str">
        <x:f>IFERROR(VLOOKUP(E41&amp;"|"&amp;K41,'Pair Setup'!$A$7:$F$42,6,FALSE),"")</x:f>
      </x:c>
      <x:c r="N41" s="38" t="str">
        <x:f>IF(OR(I41="",J41=""),"",IF(I41&gt;J41,F41,IF(J41&gt;I41,K41,"TIE")))</x:f>
      </x:c>
      <x:c r="O41" s="56" t="str">
        <x:f>IF(OR(I41="",J41=""),"",I41-J41)</x:f>
      </x:c>
    </x:row>
    <x:row r="42">
      <x:c r="A42" s="37" t="str">
        <x:v>RR-036</x:v>
      </x:c>
      <x:c r="B42" s="38" t="n">
        <x:v>8</x:v>
      </x:c>
      <x:c r="C42" s="38" t="str">
        <x:v>11:45 AM-12:00 PM</x:v>
      </x:c>
      <x:c r="D42" s="38" t="n">
        <x:v>1</x:v>
      </x:c>
      <x:c r="E42" s="38" t="str">
        <x:v>High Intermediate</x:v>
      </x:c>
      <x:c r="F42" s="38" t="str">
        <x:v>O1</x:v>
      </x:c>
      <x:c r="G42" s="24" t="str">
        <x:f>IFERROR(VLOOKUP(E42&amp;"|"&amp;F42,'Pair Setup'!$A$7:$F$42,5,FALSE),"")</x:f>
      </x:c>
      <x:c r="H42" s="24" t="str">
        <x:f>IFERROR(VLOOKUP(E42&amp;"|"&amp;F42,'Pair Setup'!$A$7:$F$42,6,FALSE),"")</x:f>
      </x:c>
      <x:c r="I42" s="53" t="str"/>
      <x:c r="J42" s="53" t="str"/>
      <x:c r="K42" s="38" t="str">
        <x:v>R5</x:v>
      </x:c>
      <x:c r="L42" s="24" t="str">
        <x:f>IFERROR(VLOOKUP(E42&amp;"|"&amp;K42,'Pair Setup'!$A$7:$F$42,5,FALSE),"")</x:f>
      </x:c>
      <x:c r="M42" s="24" t="str">
        <x:f>IFERROR(VLOOKUP(E42&amp;"|"&amp;K42,'Pair Setup'!$A$7:$F$42,6,FALSE),"")</x:f>
      </x:c>
      <x:c r="N42" s="38" t="str">
        <x:f>IF(OR(I42="",J42=""),"",IF(I42&gt;J42,F42,IF(J42&gt;I42,K42,"TIE")))</x:f>
      </x:c>
      <x:c r="O42" s="56" t="str">
        <x:f>IF(OR(I42="",J42=""),"",I42-J42)</x:f>
      </x:c>
    </x:row>
    <x:row r="43">
      <x:c r="A43" s="37" t="str">
        <x:v>RR-037</x:v>
      </x:c>
      <x:c r="B43" s="38" t="n">
        <x:v>8</x:v>
      </x:c>
      <x:c r="C43" s="38" t="str">
        <x:v>11:45 AM-12:00 PM</x:v>
      </x:c>
      <x:c r="D43" s="38" t="n">
        <x:v>2</x:v>
      </x:c>
      <x:c r="E43" s="38" t="str">
        <x:v>Novice</x:v>
      </x:c>
      <x:c r="F43" s="38" t="str">
        <x:v>O3</x:v>
      </x:c>
      <x:c r="G43" s="24" t="str">
        <x:f>IFERROR(VLOOKUP(E43&amp;"|"&amp;F43,'Pair Setup'!$A$7:$F$42,5,FALSE),"")</x:f>
      </x:c>
      <x:c r="H43" s="24" t="str">
        <x:f>IFERROR(VLOOKUP(E43&amp;"|"&amp;F43,'Pair Setup'!$A$7:$F$42,6,FALSE),"")</x:f>
      </x:c>
      <x:c r="I43" s="53" t="str"/>
      <x:c r="J43" s="53" t="str"/>
      <x:c r="K43" s="38" t="str">
        <x:v>R2</x:v>
      </x:c>
      <x:c r="L43" s="24" t="str">
        <x:f>IFERROR(VLOOKUP(E43&amp;"|"&amp;K43,'Pair Setup'!$A$7:$F$42,5,FALSE),"")</x:f>
      </x:c>
      <x:c r="M43" s="24" t="str">
        <x:f>IFERROR(VLOOKUP(E43&amp;"|"&amp;K43,'Pair Setup'!$A$7:$F$42,6,FALSE),"")</x:f>
      </x:c>
      <x:c r="N43" s="38" t="str">
        <x:f>IF(OR(I43="",J43=""),"",IF(I43&gt;J43,F43,IF(J43&gt;I43,K43,"TIE")))</x:f>
      </x:c>
      <x:c r="O43" s="56" t="str">
        <x:f>IF(OR(I43="",J43=""),"",I43-J43)</x:f>
      </x:c>
    </x:row>
    <x:row r="44">
      <x:c r="A44" s="37" t="str">
        <x:v>RR-038</x:v>
      </x:c>
      <x:c r="B44" s="38" t="n">
        <x:v>8</x:v>
      </x:c>
      <x:c r="C44" s="38" t="str">
        <x:v>11:45 AM-12:00 PM</x:v>
      </x:c>
      <x:c r="D44" s="38" t="n">
        <x:v>3</x:v>
      </x:c>
      <x:c r="E44" s="38" t="str">
        <x:v>Low Intermediate</x:v>
      </x:c>
      <x:c r="F44" s="38" t="str">
        <x:v>O5</x:v>
      </x:c>
      <x:c r="G44" s="24" t="str">
        <x:f>IFERROR(VLOOKUP(E44&amp;"|"&amp;F44,'Pair Setup'!$A$7:$F$42,5,FALSE),"")</x:f>
      </x:c>
      <x:c r="H44" s="24" t="str">
        <x:f>IFERROR(VLOOKUP(E44&amp;"|"&amp;F44,'Pair Setup'!$A$7:$F$42,6,FALSE),"")</x:f>
      </x:c>
      <x:c r="I44" s="53" t="str"/>
      <x:c r="J44" s="53" t="str"/>
      <x:c r="K44" s="38" t="str">
        <x:v>R6</x:v>
      </x:c>
      <x:c r="L44" s="24" t="str">
        <x:f>IFERROR(VLOOKUP(E44&amp;"|"&amp;K44,'Pair Setup'!$A$7:$F$42,5,FALSE),"")</x:f>
      </x:c>
      <x:c r="M44" s="24" t="str">
        <x:f>IFERROR(VLOOKUP(E44&amp;"|"&amp;K44,'Pair Setup'!$A$7:$F$42,6,FALSE),"")</x:f>
      </x:c>
      <x:c r="N44" s="38" t="str">
        <x:f>IF(OR(I44="",J44=""),"",IF(I44&gt;J44,F44,IF(J44&gt;I44,K44,"TIE")))</x:f>
      </x:c>
      <x:c r="O44" s="56" t="str">
        <x:f>IF(OR(I44="",J44=""),"",I44-J44)</x:f>
      </x:c>
    </x:row>
    <x:row r="45">
      <x:c r="A45" s="37" t="str">
        <x:v>RR-039</x:v>
      </x:c>
      <x:c r="B45" s="38" t="n">
        <x:v>8</x:v>
      </x:c>
      <x:c r="C45" s="38" t="str">
        <x:v>11:45 AM-12:00 PM</x:v>
      </x:c>
      <x:c r="D45" s="38" t="n">
        <x:v>4</x:v>
      </x:c>
      <x:c r="E45" s="38" t="str">
        <x:v>High Intermediate</x:v>
      </x:c>
      <x:c r="F45" s="38" t="str">
        <x:v>O4</x:v>
      </x:c>
      <x:c r="G45" s="24" t="str">
        <x:f>IFERROR(VLOOKUP(E45&amp;"|"&amp;F45,'Pair Setup'!$A$7:$F$42,5,FALSE),"")</x:f>
      </x:c>
      <x:c r="H45" s="24" t="str">
        <x:f>IFERROR(VLOOKUP(E45&amp;"|"&amp;F45,'Pair Setup'!$A$7:$F$42,6,FALSE),"")</x:f>
      </x:c>
      <x:c r="I45" s="53" t="str"/>
      <x:c r="J45" s="53" t="str"/>
      <x:c r="K45" s="38" t="str">
        <x:v>R1</x:v>
      </x:c>
      <x:c r="L45" s="24" t="str">
        <x:f>IFERROR(VLOOKUP(E45&amp;"|"&amp;K45,'Pair Setup'!$A$7:$F$42,5,FALSE),"")</x:f>
      </x:c>
      <x:c r="M45" s="24" t="str">
        <x:f>IFERROR(VLOOKUP(E45&amp;"|"&amp;K45,'Pair Setup'!$A$7:$F$42,6,FALSE),"")</x:f>
      </x:c>
      <x:c r="N45" s="38" t="str">
        <x:f>IF(OR(I45="",J45=""),"",IF(I45&gt;J45,F45,IF(J45&gt;I45,K45,"TIE")))</x:f>
      </x:c>
      <x:c r="O45" s="56" t="str">
        <x:f>IF(OR(I45="",J45=""),"",I45-J45)</x:f>
      </x:c>
    </x:row>
    <x:row r="46">
      <x:c r="A46" s="37" t="str">
        <x:v>RR-040</x:v>
      </x:c>
      <x:c r="B46" s="38" t="n">
        <x:v>8</x:v>
      </x:c>
      <x:c r="C46" s="38" t="str">
        <x:v>11:45 AM-12:00 PM</x:v>
      </x:c>
      <x:c r="D46" s="38" t="n">
        <x:v>5</x:v>
      </x:c>
      <x:c r="E46" s="38" t="str">
        <x:v>Low Intermediate</x:v>
      </x:c>
      <x:c r="F46" s="38" t="str">
        <x:v>O3</x:v>
      </x:c>
      <x:c r="G46" s="24" t="str">
        <x:f>IFERROR(VLOOKUP(E46&amp;"|"&amp;F46,'Pair Setup'!$A$7:$F$42,5,FALSE),"")</x:f>
      </x:c>
      <x:c r="H46" s="24" t="str">
        <x:f>IFERROR(VLOOKUP(E46&amp;"|"&amp;F46,'Pair Setup'!$A$7:$F$42,6,FALSE),"")</x:f>
      </x:c>
      <x:c r="I46" s="53" t="str"/>
      <x:c r="J46" s="53" t="str"/>
      <x:c r="K46" s="38" t="str">
        <x:v>R4</x:v>
      </x:c>
      <x:c r="L46" s="24" t="str">
        <x:f>IFERROR(VLOOKUP(E46&amp;"|"&amp;K46,'Pair Setup'!$A$7:$F$42,5,FALSE),"")</x:f>
      </x:c>
      <x:c r="M46" s="24" t="str">
        <x:f>IFERROR(VLOOKUP(E46&amp;"|"&amp;K46,'Pair Setup'!$A$7:$F$42,6,FALSE),"")</x:f>
      </x:c>
      <x:c r="N46" s="38" t="str">
        <x:f>IF(OR(I46="",J46=""),"",IF(I46&gt;J46,F46,IF(J46&gt;I46,K46,"TIE")))</x:f>
      </x:c>
      <x:c r="O46" s="56" t="str">
        <x:f>IF(OR(I46="",J46=""),"",I46-J46)</x:f>
      </x:c>
    </x:row>
    <x:row r="47">
      <x:c r="A47" s="37" t="str">
        <x:v>RR-041</x:v>
      </x:c>
      <x:c r="B47" s="38" t="n">
        <x:v>9</x:v>
      </x:c>
      <x:c r="C47" s="38" t="str">
        <x:v>12:00 PM-12:15 PM</x:v>
      </x:c>
      <x:c r="D47" s="38" t="n">
        <x:v>1</x:v>
      </x:c>
      <x:c r="E47" s="38" t="str">
        <x:v>Novice</x:v>
      </x:c>
      <x:c r="F47" s="38" t="str">
        <x:v>O5</x:v>
      </x:c>
      <x:c r="G47" s="24" t="str">
        <x:f>IFERROR(VLOOKUP(E47&amp;"|"&amp;F47,'Pair Setup'!$A$7:$F$42,5,FALSE),"")</x:f>
      </x:c>
      <x:c r="H47" s="24" t="str">
        <x:f>IFERROR(VLOOKUP(E47&amp;"|"&amp;F47,'Pair Setup'!$A$7:$F$42,6,FALSE),"")</x:f>
      </x:c>
      <x:c r="I47" s="53" t="str"/>
      <x:c r="J47" s="53" t="str"/>
      <x:c r="K47" s="38" t="str">
        <x:v>R1</x:v>
      </x:c>
      <x:c r="L47" s="24" t="str">
        <x:f>IFERROR(VLOOKUP(E47&amp;"|"&amp;K47,'Pair Setup'!$A$7:$F$42,5,FALSE),"")</x:f>
      </x:c>
      <x:c r="M47" s="24" t="str">
        <x:f>IFERROR(VLOOKUP(E47&amp;"|"&amp;K47,'Pair Setup'!$A$7:$F$42,6,FALSE),"")</x:f>
      </x:c>
      <x:c r="N47" s="38" t="str">
        <x:f>IF(OR(I47="",J47=""),"",IF(I47&gt;J47,F47,IF(J47&gt;I47,K47,"TIE")))</x:f>
      </x:c>
      <x:c r="O47" s="56" t="str">
        <x:f>IF(OR(I47="",J47=""),"",I47-J47)</x:f>
      </x:c>
    </x:row>
    <x:row r="48">
      <x:c r="A48" s="37" t="str">
        <x:v>RR-042</x:v>
      </x:c>
      <x:c r="B48" s="38" t="n">
        <x:v>9</x:v>
      </x:c>
      <x:c r="C48" s="38" t="str">
        <x:v>12:00 PM-12:15 PM</x:v>
      </x:c>
      <x:c r="D48" s="38" t="n">
        <x:v>2</x:v>
      </x:c>
      <x:c r="E48" s="38" t="str">
        <x:v>High Intermediate</x:v>
      </x:c>
      <x:c r="F48" s="38" t="str">
        <x:v>O3</x:v>
      </x:c>
      <x:c r="G48" s="24" t="str">
        <x:f>IFERROR(VLOOKUP(E48&amp;"|"&amp;F48,'Pair Setup'!$A$7:$F$42,5,FALSE),"")</x:f>
      </x:c>
      <x:c r="H48" s="24" t="str">
        <x:f>IFERROR(VLOOKUP(E48&amp;"|"&amp;F48,'Pair Setup'!$A$7:$F$42,6,FALSE),"")</x:f>
      </x:c>
      <x:c r="I48" s="53" t="str"/>
      <x:c r="J48" s="53" t="str"/>
      <x:c r="K48" s="38" t="str">
        <x:v>R2</x:v>
      </x:c>
      <x:c r="L48" s="24" t="str">
        <x:f>IFERROR(VLOOKUP(E48&amp;"|"&amp;K48,'Pair Setup'!$A$7:$F$42,5,FALSE),"")</x:f>
      </x:c>
      <x:c r="M48" s="24" t="str">
        <x:f>IFERROR(VLOOKUP(E48&amp;"|"&amp;K48,'Pair Setup'!$A$7:$F$42,6,FALSE),"")</x:f>
      </x:c>
      <x:c r="N48" s="38" t="str">
        <x:f>IF(OR(I48="",J48=""),"",IF(I48&gt;J48,F48,IF(J48&gt;I48,K48,"TIE")))</x:f>
      </x:c>
      <x:c r="O48" s="56" t="str">
        <x:f>IF(OR(I48="",J48=""),"",I48-J48)</x:f>
      </x:c>
    </x:row>
    <x:row r="49">
      <x:c r="A49" s="37" t="str">
        <x:v>RR-043</x:v>
      </x:c>
      <x:c r="B49" s="38" t="n">
        <x:v>9</x:v>
      </x:c>
      <x:c r="C49" s="38" t="str">
        <x:v>12:00 PM-12:15 PM</x:v>
      </x:c>
      <x:c r="D49" s="38" t="n">
        <x:v>3</x:v>
      </x:c>
      <x:c r="E49" s="38" t="str">
        <x:v>Low Intermediate</x:v>
      </x:c>
      <x:c r="F49" s="38" t="str">
        <x:v>O6</x:v>
      </x:c>
      <x:c r="G49" s="24" t="str">
        <x:f>IFERROR(VLOOKUP(E49&amp;"|"&amp;F49,'Pair Setup'!$A$7:$F$42,5,FALSE),"")</x:f>
      </x:c>
      <x:c r="H49" s="24" t="str">
        <x:f>IFERROR(VLOOKUP(E49&amp;"|"&amp;F49,'Pair Setup'!$A$7:$F$42,6,FALSE),"")</x:f>
      </x:c>
      <x:c r="I49" s="53" t="str"/>
      <x:c r="J49" s="53" t="str"/>
      <x:c r="K49" s="38" t="str">
        <x:v>R2</x:v>
      </x:c>
      <x:c r="L49" s="24" t="str">
        <x:f>IFERROR(VLOOKUP(E49&amp;"|"&amp;K49,'Pair Setup'!$A$7:$F$42,5,FALSE),"")</x:f>
      </x:c>
      <x:c r="M49" s="24" t="str">
        <x:f>IFERROR(VLOOKUP(E49&amp;"|"&amp;K49,'Pair Setup'!$A$7:$F$42,6,FALSE),"")</x:f>
      </x:c>
      <x:c r="N49" s="38" t="str">
        <x:f>IF(OR(I49="",J49=""),"",IF(I49&gt;J49,F49,IF(J49&gt;I49,K49,"TIE")))</x:f>
      </x:c>
      <x:c r="O49" s="56" t="str">
        <x:f>IF(OR(I49="",J49=""),"",I49-J49)</x:f>
      </x:c>
    </x:row>
    <x:row r="50">
      <x:c r="A50" s="37" t="str">
        <x:v>RR-044</x:v>
      </x:c>
      <x:c r="B50" s="38" t="n">
        <x:v>9</x:v>
      </x:c>
      <x:c r="C50" s="38" t="str">
        <x:v>12:00 PM-12:15 PM</x:v>
      </x:c>
      <x:c r="D50" s="38" t="n">
        <x:v>4</x:v>
      </x:c>
      <x:c r="E50" s="38" t="str">
        <x:v>Novice</x:v>
      </x:c>
      <x:c r="F50" s="38" t="str">
        <x:v>O4</x:v>
      </x:c>
      <x:c r="G50" s="24" t="str">
        <x:f>IFERROR(VLOOKUP(E50&amp;"|"&amp;F50,'Pair Setup'!$A$7:$F$42,5,FALSE),"")</x:f>
      </x:c>
      <x:c r="H50" s="24" t="str">
        <x:f>IFERROR(VLOOKUP(E50&amp;"|"&amp;F50,'Pair Setup'!$A$7:$F$42,6,FALSE),"")</x:f>
      </x:c>
      <x:c r="I50" s="53" t="str"/>
      <x:c r="J50" s="53" t="str"/>
      <x:c r="K50" s="38" t="str">
        <x:v>R5</x:v>
      </x:c>
      <x:c r="L50" s="24" t="str">
        <x:f>IFERROR(VLOOKUP(E50&amp;"|"&amp;K50,'Pair Setup'!$A$7:$F$42,5,FALSE),"")</x:f>
      </x:c>
      <x:c r="M50" s="24" t="str">
        <x:f>IFERROR(VLOOKUP(E50&amp;"|"&amp;K50,'Pair Setup'!$A$7:$F$42,6,FALSE),"")</x:f>
      </x:c>
      <x:c r="N50" s="38" t="str">
        <x:f>IF(OR(I50="",J50=""),"",IF(I50&gt;J50,F50,IF(J50&gt;I50,K50,"TIE")))</x:f>
      </x:c>
      <x:c r="O50" s="56" t="str">
        <x:f>IF(OR(I50="",J50=""),"",I50-J50)</x:f>
      </x:c>
    </x:row>
    <x:row r="51">
      <x:c r="A51" s="37" t="str">
        <x:v>RR-045</x:v>
      </x:c>
      <x:c r="B51" s="38" t="n">
        <x:v>9</x:v>
      </x:c>
      <x:c r="C51" s="38" t="str">
        <x:v>12:00 PM-12:15 PM</x:v>
      </x:c>
      <x:c r="D51" s="38" t="n">
        <x:v>5</x:v>
      </x:c>
      <x:c r="E51" s="38" t="str">
        <x:v>High Intermediate</x:v>
      </x:c>
      <x:c r="F51" s="38" t="str">
        <x:v>O5</x:v>
      </x:c>
      <x:c r="G51" s="24" t="str">
        <x:f>IFERROR(VLOOKUP(E51&amp;"|"&amp;F51,'Pair Setup'!$A$7:$F$42,5,FALSE),"")</x:f>
      </x:c>
      <x:c r="H51" s="24" t="str">
        <x:f>IFERROR(VLOOKUP(E51&amp;"|"&amp;F51,'Pair Setup'!$A$7:$F$42,6,FALSE),"")</x:f>
      </x:c>
      <x:c r="I51" s="53" t="str"/>
      <x:c r="J51" s="53" t="str"/>
      <x:c r="K51" s="38" t="str">
        <x:v>R6</x:v>
      </x:c>
      <x:c r="L51" s="24" t="str">
        <x:f>IFERROR(VLOOKUP(E51&amp;"|"&amp;K51,'Pair Setup'!$A$7:$F$42,5,FALSE),"")</x:f>
      </x:c>
      <x:c r="M51" s="24" t="str">
        <x:f>IFERROR(VLOOKUP(E51&amp;"|"&amp;K51,'Pair Setup'!$A$7:$F$42,6,FALSE),"")</x:f>
      </x:c>
      <x:c r="N51" s="38" t="str">
        <x:f>IF(OR(I51="",J51=""),"",IF(I51&gt;J51,F51,IF(J51&gt;I51,K51,"TIE")))</x:f>
      </x:c>
      <x:c r="O51" s="56" t="str">
        <x:f>IF(OR(I51="",J51=""),"",I51-J51)</x:f>
      </x:c>
    </x:row>
    <x:row r="52">
      <x:c r="A52" s="37" t="str">
        <x:v>RR-046</x:v>
      </x:c>
      <x:c r="B52" s="38" t="n">
        <x:v>10</x:v>
      </x:c>
      <x:c r="C52" s="38" t="str">
        <x:v>12:15 PM-12:30 PM</x:v>
      </x:c>
      <x:c r="D52" s="38" t="n">
        <x:v>1</x:v>
      </x:c>
      <x:c r="E52" s="38" t="str">
        <x:v>High Intermediate</x:v>
      </x:c>
      <x:c r="F52" s="38" t="str">
        <x:v>O1</x:v>
      </x:c>
      <x:c r="G52" s="24" t="str">
        <x:f>IFERROR(VLOOKUP(E52&amp;"|"&amp;F52,'Pair Setup'!$A$7:$F$42,5,FALSE),"")</x:f>
      </x:c>
      <x:c r="H52" s="24" t="str">
        <x:f>IFERROR(VLOOKUP(E52&amp;"|"&amp;F52,'Pair Setup'!$A$7:$F$42,6,FALSE),"")</x:f>
      </x:c>
      <x:c r="I52" s="53" t="str"/>
      <x:c r="J52" s="53" t="str"/>
      <x:c r="K52" s="38" t="str">
        <x:v>R3</x:v>
      </x:c>
      <x:c r="L52" s="24" t="str">
        <x:f>IFERROR(VLOOKUP(E52&amp;"|"&amp;K52,'Pair Setup'!$A$7:$F$42,5,FALSE),"")</x:f>
      </x:c>
      <x:c r="M52" s="24" t="str">
        <x:f>IFERROR(VLOOKUP(E52&amp;"|"&amp;K52,'Pair Setup'!$A$7:$F$42,6,FALSE),"")</x:f>
      </x:c>
      <x:c r="N52" s="38" t="str">
        <x:f>IF(OR(I52="",J52=""),"",IF(I52&gt;J52,F52,IF(J52&gt;I52,K52,"TIE")))</x:f>
      </x:c>
      <x:c r="O52" s="56" t="str">
        <x:f>IF(OR(I52="",J52=""),"",I52-J52)</x:f>
      </x:c>
    </x:row>
    <x:row r="53">
      <x:c r="A53" s="37" t="str">
        <x:v>RR-047</x:v>
      </x:c>
      <x:c r="B53" s="38" t="n">
        <x:v>10</x:v>
      </x:c>
      <x:c r="C53" s="38" t="str">
        <x:v>12:15 PM-12:30 PM</x:v>
      </x:c>
      <x:c r="D53" s="38" t="n">
        <x:v>2</x:v>
      </x:c>
      <x:c r="E53" s="38" t="str">
        <x:v>Novice</x:v>
      </x:c>
      <x:c r="F53" s="38" t="str">
        <x:v>O1</x:v>
      </x:c>
      <x:c r="G53" s="24" t="str">
        <x:f>IFERROR(VLOOKUP(E53&amp;"|"&amp;F53,'Pair Setup'!$A$7:$F$42,5,FALSE),"")</x:f>
      </x:c>
      <x:c r="H53" s="24" t="str">
        <x:f>IFERROR(VLOOKUP(E53&amp;"|"&amp;F53,'Pair Setup'!$A$7:$F$42,6,FALSE),"")</x:f>
      </x:c>
      <x:c r="I53" s="53" t="str"/>
      <x:c r="J53" s="53" t="str"/>
      <x:c r="K53" s="38" t="str">
        <x:v>R6</x:v>
      </x:c>
      <x:c r="L53" s="24" t="str">
        <x:f>IFERROR(VLOOKUP(E53&amp;"|"&amp;K53,'Pair Setup'!$A$7:$F$42,5,FALSE),"")</x:f>
      </x:c>
      <x:c r="M53" s="24" t="str">
        <x:f>IFERROR(VLOOKUP(E53&amp;"|"&amp;K53,'Pair Setup'!$A$7:$F$42,6,FALSE),"")</x:f>
      </x:c>
      <x:c r="N53" s="38" t="str">
        <x:f>IF(OR(I53="",J53=""),"",IF(I53&gt;J53,F53,IF(J53&gt;I53,K53,"TIE")))</x:f>
      </x:c>
      <x:c r="O53" s="56" t="str">
        <x:f>IF(OR(I53="",J53=""),"",I53-J53)</x:f>
      </x:c>
    </x:row>
    <x:row r="54">
      <x:c r="A54" s="37" t="str">
        <x:v>RR-048</x:v>
      </x:c>
      <x:c r="B54" s="38" t="n">
        <x:v>10</x:v>
      </x:c>
      <x:c r="C54" s="38" t="str">
        <x:v>12:15 PM-12:30 PM</x:v>
      </x:c>
      <x:c r="D54" s="38" t="n">
        <x:v>3</x:v>
      </x:c>
      <x:c r="E54" s="38" t="str">
        <x:v>Low Intermediate</x:v>
      </x:c>
      <x:c r="F54" s="38" t="str">
        <x:v>O4</x:v>
      </x:c>
      <x:c r="G54" s="24" t="str">
        <x:f>IFERROR(VLOOKUP(E54&amp;"|"&amp;F54,'Pair Setup'!$A$7:$F$42,5,FALSE),"")</x:f>
      </x:c>
      <x:c r="H54" s="24" t="str">
        <x:f>IFERROR(VLOOKUP(E54&amp;"|"&amp;F54,'Pair Setup'!$A$7:$F$42,6,FALSE),"")</x:f>
      </x:c>
      <x:c r="I54" s="53" t="str"/>
      <x:c r="J54" s="53" t="str"/>
      <x:c r="K54" s="38" t="str">
        <x:v>R5</x:v>
      </x:c>
      <x:c r="L54" s="24" t="str">
        <x:f>IFERROR(VLOOKUP(E54&amp;"|"&amp;K54,'Pair Setup'!$A$7:$F$42,5,FALSE),"")</x:f>
      </x:c>
      <x:c r="M54" s="24" t="str">
        <x:f>IFERROR(VLOOKUP(E54&amp;"|"&amp;K54,'Pair Setup'!$A$7:$F$42,6,FALSE),"")</x:f>
      </x:c>
      <x:c r="N54" s="38" t="str">
        <x:f>IF(OR(I54="",J54=""),"",IF(I54&gt;J54,F54,IF(J54&gt;I54,K54,"TIE")))</x:f>
      </x:c>
      <x:c r="O54" s="56" t="str">
        <x:f>IF(OR(I54="",J54=""),"",I54-J54)</x:f>
      </x:c>
    </x:row>
    <x:row r="55">
      <x:c r="A55" s="37" t="str">
        <x:v>RR-049</x:v>
      </x:c>
      <x:c r="B55" s="38" t="n">
        <x:v>10</x:v>
      </x:c>
      <x:c r="C55" s="38" t="str">
        <x:v>12:15 PM-12:30 PM</x:v>
      </x:c>
      <x:c r="D55" s="38" t="n">
        <x:v>4</x:v>
      </x:c>
      <x:c r="E55" s="38" t="str">
        <x:v>High Intermediate</x:v>
      </x:c>
      <x:c r="F55" s="38" t="str">
        <x:v>O2</x:v>
      </x:c>
      <x:c r="G55" s="24" t="str">
        <x:f>IFERROR(VLOOKUP(E55&amp;"|"&amp;F55,'Pair Setup'!$A$7:$F$42,5,FALSE),"")</x:f>
      </x:c>
      <x:c r="H55" s="24" t="str">
        <x:f>IFERROR(VLOOKUP(E55&amp;"|"&amp;F55,'Pair Setup'!$A$7:$F$42,6,FALSE),"")</x:f>
      </x:c>
      <x:c r="I55" s="53" t="str"/>
      <x:c r="J55" s="53" t="str"/>
      <x:c r="K55" s="38" t="str">
        <x:v>R1</x:v>
      </x:c>
      <x:c r="L55" s="24" t="str">
        <x:f>IFERROR(VLOOKUP(E55&amp;"|"&amp;K55,'Pair Setup'!$A$7:$F$42,5,FALSE),"")</x:f>
      </x:c>
      <x:c r="M55" s="24" t="str">
        <x:f>IFERROR(VLOOKUP(E55&amp;"|"&amp;K55,'Pair Setup'!$A$7:$F$42,6,FALSE),"")</x:f>
      </x:c>
      <x:c r="N55" s="38" t="str">
        <x:f>IF(OR(I55="",J55=""),"",IF(I55&gt;J55,F55,IF(J55&gt;I55,K55,"TIE")))</x:f>
      </x:c>
      <x:c r="O55" s="56" t="str">
        <x:f>IF(OR(I55="",J55=""),"",I55-J55)</x:f>
      </x:c>
    </x:row>
    <x:row r="56">
      <x:c r="A56" s="37" t="str">
        <x:v>RR-050</x:v>
      </x:c>
      <x:c r="B56" s="38" t="n">
        <x:v>10</x:v>
      </x:c>
      <x:c r="C56" s="38" t="str">
        <x:v>12:15 PM-12:30 PM</x:v>
      </x:c>
      <x:c r="D56" s="38" t="n">
        <x:v>5</x:v>
      </x:c>
      <x:c r="E56" s="38" t="str">
        <x:v>Novice</x:v>
      </x:c>
      <x:c r="F56" s="38" t="str">
        <x:v>O3</x:v>
      </x:c>
      <x:c r="G56" s="24" t="str">
        <x:f>IFERROR(VLOOKUP(E56&amp;"|"&amp;F56,'Pair Setup'!$A$7:$F$42,5,FALSE),"")</x:f>
      </x:c>
      <x:c r="H56" s="24" t="str">
        <x:f>IFERROR(VLOOKUP(E56&amp;"|"&amp;F56,'Pair Setup'!$A$7:$F$42,6,FALSE),"")</x:f>
      </x:c>
      <x:c r="I56" s="53" t="str"/>
      <x:c r="J56" s="53" t="str"/>
      <x:c r="K56" s="38" t="str">
        <x:v>R3</x:v>
      </x:c>
      <x:c r="L56" s="24" t="str">
        <x:f>IFERROR(VLOOKUP(E56&amp;"|"&amp;K56,'Pair Setup'!$A$7:$F$42,5,FALSE),"")</x:f>
      </x:c>
      <x:c r="M56" s="24" t="str">
        <x:f>IFERROR(VLOOKUP(E56&amp;"|"&amp;K56,'Pair Setup'!$A$7:$F$42,6,FALSE),"")</x:f>
      </x:c>
      <x:c r="N56" s="38" t="str">
        <x:f>IF(OR(I56="",J56=""),"",IF(I56&gt;J56,F56,IF(J56&gt;I56,K56,"TIE")))</x:f>
      </x:c>
      <x:c r="O56" s="56" t="str">
        <x:f>IF(OR(I56="",J56=""),"",I56-J56)</x:f>
      </x:c>
    </x:row>
    <x:row r="57">
      <x:c r="A57" s="37" t="str">
        <x:v>RR-051</x:v>
      </x:c>
      <x:c r="B57" s="38" t="n">
        <x:v>11</x:v>
      </x:c>
      <x:c r="C57" s="38" t="str">
        <x:v>12:30 PM-12:45 PM</x:v>
      </x:c>
      <x:c r="D57" s="38" t="n">
        <x:v>1</x:v>
      </x:c>
      <x:c r="E57" s="38" t="str">
        <x:v>Low Intermediate</x:v>
      </x:c>
      <x:c r="F57" s="38" t="str">
        <x:v>O6</x:v>
      </x:c>
      <x:c r="G57" s="24" t="str">
        <x:f>IFERROR(VLOOKUP(E57&amp;"|"&amp;F57,'Pair Setup'!$A$7:$F$42,5,FALSE),"")</x:f>
      </x:c>
      <x:c r="H57" s="24" t="str">
        <x:f>IFERROR(VLOOKUP(E57&amp;"|"&amp;F57,'Pair Setup'!$A$7:$F$42,6,FALSE),"")</x:f>
      </x:c>
      <x:c r="I57" s="53" t="str"/>
      <x:c r="J57" s="53" t="str"/>
      <x:c r="K57" s="38" t="str">
        <x:v>R6</x:v>
      </x:c>
      <x:c r="L57" s="24" t="str">
        <x:f>IFERROR(VLOOKUP(E57&amp;"|"&amp;K57,'Pair Setup'!$A$7:$F$42,5,FALSE),"")</x:f>
      </x:c>
      <x:c r="M57" s="24" t="str">
        <x:f>IFERROR(VLOOKUP(E57&amp;"|"&amp;K57,'Pair Setup'!$A$7:$F$42,6,FALSE),"")</x:f>
      </x:c>
      <x:c r="N57" s="38" t="str">
        <x:f>IF(OR(I57="",J57=""),"",IF(I57&gt;J57,F57,IF(J57&gt;I57,K57,"TIE")))</x:f>
      </x:c>
      <x:c r="O57" s="56" t="str">
        <x:f>IF(OR(I57="",J57=""),"",I57-J57)</x:f>
      </x:c>
    </x:row>
    <x:row r="58">
      <x:c r="A58" s="37" t="str">
        <x:v>RR-052</x:v>
      </x:c>
      <x:c r="B58" s="38" t="n">
        <x:v>11</x:v>
      </x:c>
      <x:c r="C58" s="38" t="str">
        <x:v>12:30 PM-12:45 PM</x:v>
      </x:c>
      <x:c r="D58" s="38" t="n">
        <x:v>2</x:v>
      </x:c>
      <x:c r="E58" s="38" t="str">
        <x:v>High Intermediate</x:v>
      </x:c>
      <x:c r="F58" s="38" t="str">
        <x:v>O3</x:v>
      </x:c>
      <x:c r="G58" s="24" t="str">
        <x:f>IFERROR(VLOOKUP(E58&amp;"|"&amp;F58,'Pair Setup'!$A$7:$F$42,5,FALSE),"")</x:f>
      </x:c>
      <x:c r="H58" s="24" t="str">
        <x:f>IFERROR(VLOOKUP(E58&amp;"|"&amp;F58,'Pair Setup'!$A$7:$F$42,6,FALSE),"")</x:f>
      </x:c>
      <x:c r="I58" s="53" t="str"/>
      <x:c r="J58" s="53" t="str"/>
      <x:c r="K58" s="38" t="str">
        <x:v>R4</x:v>
      </x:c>
      <x:c r="L58" s="24" t="str">
        <x:f>IFERROR(VLOOKUP(E58&amp;"|"&amp;K58,'Pair Setup'!$A$7:$F$42,5,FALSE),"")</x:f>
      </x:c>
      <x:c r="M58" s="24" t="str">
        <x:f>IFERROR(VLOOKUP(E58&amp;"|"&amp;K58,'Pair Setup'!$A$7:$F$42,6,FALSE),"")</x:f>
      </x:c>
      <x:c r="N58" s="38" t="str">
        <x:f>IF(OR(I58="",J58=""),"",IF(I58&gt;J58,F58,IF(J58&gt;I58,K58,"TIE")))</x:f>
      </x:c>
      <x:c r="O58" s="56" t="str">
        <x:f>IF(OR(I58="",J58=""),"",I58-J58)</x:f>
      </x:c>
    </x:row>
    <x:row r="59">
      <x:c r="A59" s="37" t="str">
        <x:v>RR-053</x:v>
      </x:c>
      <x:c r="B59" s="38" t="n">
        <x:v>11</x:v>
      </x:c>
      <x:c r="C59" s="38" t="str">
        <x:v>12:30 PM-12:45 PM</x:v>
      </x:c>
      <x:c r="D59" s="38" t="n">
        <x:v>3</x:v>
      </x:c>
      <x:c r="E59" s="38" t="str">
        <x:v>Novice</x:v>
      </x:c>
      <x:c r="F59" s="38" t="str">
        <x:v>O6</x:v>
      </x:c>
      <x:c r="G59" s="24" t="str">
        <x:f>IFERROR(VLOOKUP(E59&amp;"|"&amp;F59,'Pair Setup'!$A$7:$F$42,5,FALSE),"")</x:f>
      </x:c>
      <x:c r="H59" s="24" t="str">
        <x:f>IFERROR(VLOOKUP(E59&amp;"|"&amp;F59,'Pair Setup'!$A$7:$F$42,6,FALSE),"")</x:f>
      </x:c>
      <x:c r="I59" s="53" t="str"/>
      <x:c r="J59" s="53" t="str"/>
      <x:c r="K59" s="38" t="str">
        <x:v>R4</x:v>
      </x:c>
      <x:c r="L59" s="24" t="str">
        <x:f>IFERROR(VLOOKUP(E59&amp;"|"&amp;K59,'Pair Setup'!$A$7:$F$42,5,FALSE),"")</x:f>
      </x:c>
      <x:c r="M59" s="24" t="str">
        <x:f>IFERROR(VLOOKUP(E59&amp;"|"&amp;K59,'Pair Setup'!$A$7:$F$42,6,FALSE),"")</x:f>
      </x:c>
      <x:c r="N59" s="38" t="str">
        <x:f>IF(OR(I59="",J59=""),"",IF(I59&gt;J59,F59,IF(J59&gt;I59,K59,"TIE")))</x:f>
      </x:c>
      <x:c r="O59" s="56" t="str">
        <x:f>IF(OR(I59="",J59=""),"",I59-J59)</x:f>
      </x:c>
    </x:row>
    <x:row r="60">
      <x:c r="A60" s="37" t="str">
        <x:v>RR-054</x:v>
      </x:c>
      <x:c r="B60" s="38" t="n">
        <x:v>11</x:v>
      </x:c>
      <x:c r="C60" s="38" t="str">
        <x:v>12:30 PM-12:45 PM</x:v>
      </x:c>
      <x:c r="D60" s="38" t="n">
        <x:v>4</x:v>
      </x:c>
      <x:c r="E60" s="38" t="str">
        <x:v>Low Intermediate</x:v>
      </x:c>
      <x:c r="F60" s="38" t="str">
        <x:v>O5</x:v>
      </x:c>
      <x:c r="G60" s="24" t="str">
        <x:f>IFERROR(VLOOKUP(E60&amp;"|"&amp;F60,'Pair Setup'!$A$7:$F$42,5,FALSE),"")</x:f>
      </x:c>
      <x:c r="H60" s="24" t="str">
        <x:f>IFERROR(VLOOKUP(E60&amp;"|"&amp;F60,'Pair Setup'!$A$7:$F$42,6,FALSE),"")</x:f>
      </x:c>
      <x:c r="I60" s="53" t="str"/>
      <x:c r="J60" s="53" t="str"/>
      <x:c r="K60" s="38" t="str">
        <x:v>R2</x:v>
      </x:c>
      <x:c r="L60" s="24" t="str">
        <x:f>IFERROR(VLOOKUP(E60&amp;"|"&amp;K60,'Pair Setup'!$A$7:$F$42,5,FALSE),"")</x:f>
      </x:c>
      <x:c r="M60" s="24" t="str">
        <x:f>IFERROR(VLOOKUP(E60&amp;"|"&amp;K60,'Pair Setup'!$A$7:$F$42,6,FALSE),"")</x:f>
      </x:c>
      <x:c r="N60" s="38" t="str">
        <x:f>IF(OR(I60="",J60=""),"",IF(I60&gt;J60,F60,IF(J60&gt;I60,K60,"TIE")))</x:f>
      </x:c>
      <x:c r="O60" s="56" t="str">
        <x:f>IF(OR(I60="",J60=""),"",I60-J60)</x:f>
      </x:c>
    </x:row>
    <x:row r="61">
      <x:c r="A61" s="37" t="str">
        <x:v>RR-055</x:v>
      </x:c>
      <x:c r="B61" s="38" t="n">
        <x:v>11</x:v>
      </x:c>
      <x:c r="C61" s="38" t="str">
        <x:v>12:30 PM-12:45 PM</x:v>
      </x:c>
      <x:c r="D61" s="38" t="n">
        <x:v>5</x:v>
      </x:c>
      <x:c r="E61" s="38" t="str">
        <x:v>Novice</x:v>
      </x:c>
      <x:c r="F61" s="38" t="str">
        <x:v>O2</x:v>
      </x:c>
      <x:c r="G61" s="24" t="str">
        <x:f>IFERROR(VLOOKUP(E61&amp;"|"&amp;F61,'Pair Setup'!$A$7:$F$42,5,FALSE),"")</x:f>
      </x:c>
      <x:c r="H61" s="24" t="str">
        <x:f>IFERROR(VLOOKUP(E61&amp;"|"&amp;F61,'Pair Setup'!$A$7:$F$42,6,FALSE),"")</x:f>
      </x:c>
      <x:c r="I61" s="53" t="str"/>
      <x:c r="J61" s="53" t="str"/>
      <x:c r="K61" s="38" t="str">
        <x:v>R1</x:v>
      </x:c>
      <x:c r="L61" s="24" t="str">
        <x:f>IFERROR(VLOOKUP(E61&amp;"|"&amp;K61,'Pair Setup'!$A$7:$F$42,5,FALSE),"")</x:f>
      </x:c>
      <x:c r="M61" s="24" t="str">
        <x:f>IFERROR(VLOOKUP(E61&amp;"|"&amp;K61,'Pair Setup'!$A$7:$F$42,6,FALSE),"")</x:f>
      </x:c>
      <x:c r="N61" s="38" t="str">
        <x:f>IF(OR(I61="",J61=""),"",IF(I61&gt;J61,F61,IF(J61&gt;I61,K61,"TIE")))</x:f>
      </x:c>
      <x:c r="O61" s="56" t="str">
        <x:f>IF(OR(I61="",J61=""),"",I61-J61)</x:f>
      </x:c>
    </x:row>
    <x:row r="62">
      <x:c r="A62" s="37" t="str">
        <x:v>RR-056</x:v>
      </x:c>
      <x:c r="B62" s="38" t="n">
        <x:v>12</x:v>
      </x:c>
      <x:c r="C62" s="38" t="str">
        <x:v>12:45 PM-1:00 PM</x:v>
      </x:c>
      <x:c r="D62" s="38" t="n">
        <x:v>1</x:v>
      </x:c>
      <x:c r="E62" s="38" t="str">
        <x:v>Low Intermediate</x:v>
      </x:c>
      <x:c r="F62" s="38" t="str">
        <x:v>O4</x:v>
      </x:c>
      <x:c r="G62" s="24" t="str">
        <x:f>IFERROR(VLOOKUP(E62&amp;"|"&amp;F62,'Pair Setup'!$A$7:$F$42,5,FALSE),"")</x:f>
      </x:c>
      <x:c r="H62" s="24" t="str">
        <x:f>IFERROR(VLOOKUP(E62&amp;"|"&amp;F62,'Pair Setup'!$A$7:$F$42,6,FALSE),"")</x:f>
      </x:c>
      <x:c r="I62" s="53" t="str"/>
      <x:c r="J62" s="53" t="str"/>
      <x:c r="K62" s="38" t="str">
        <x:v>R1</x:v>
      </x:c>
      <x:c r="L62" s="24" t="str">
        <x:f>IFERROR(VLOOKUP(E62&amp;"|"&amp;K62,'Pair Setup'!$A$7:$F$42,5,FALSE),"")</x:f>
      </x:c>
      <x:c r="M62" s="24" t="str">
        <x:f>IFERROR(VLOOKUP(E62&amp;"|"&amp;K62,'Pair Setup'!$A$7:$F$42,6,FALSE),"")</x:f>
      </x:c>
      <x:c r="N62" s="38" t="str">
        <x:f>IF(OR(I62="",J62=""),"",IF(I62&gt;J62,F62,IF(J62&gt;I62,K62,"TIE")))</x:f>
      </x:c>
      <x:c r="O62" s="56" t="str">
        <x:f>IF(OR(I62="",J62=""),"",I62-J62)</x:f>
      </x:c>
    </x:row>
    <x:row r="63">
      <x:c r="A63" s="37" t="str">
        <x:v>RR-057</x:v>
      </x:c>
      <x:c r="B63" s="38" t="n">
        <x:v>12</x:v>
      </x:c>
      <x:c r="C63" s="38" t="str">
        <x:v>12:45 PM-1:00 PM</x:v>
      </x:c>
      <x:c r="D63" s="38" t="n">
        <x:v>2</x:v>
      </x:c>
      <x:c r="E63" s="38" t="str">
        <x:v>High Intermediate</x:v>
      </x:c>
      <x:c r="F63" s="38" t="str">
        <x:v>O4</x:v>
      </x:c>
      <x:c r="G63" s="24" t="str">
        <x:f>IFERROR(VLOOKUP(E63&amp;"|"&amp;F63,'Pair Setup'!$A$7:$F$42,5,FALSE),"")</x:f>
      </x:c>
      <x:c r="H63" s="24" t="str">
        <x:f>IFERROR(VLOOKUP(E63&amp;"|"&amp;F63,'Pair Setup'!$A$7:$F$42,6,FALSE),"")</x:f>
      </x:c>
      <x:c r="I63" s="53" t="str"/>
      <x:c r="J63" s="53" t="str"/>
      <x:c r="K63" s="38" t="str">
        <x:v>R2</x:v>
      </x:c>
      <x:c r="L63" s="24" t="str">
        <x:f>IFERROR(VLOOKUP(E63&amp;"|"&amp;K63,'Pair Setup'!$A$7:$F$42,5,FALSE),"")</x:f>
      </x:c>
      <x:c r="M63" s="24" t="str">
        <x:f>IFERROR(VLOOKUP(E63&amp;"|"&amp;K63,'Pair Setup'!$A$7:$F$42,6,FALSE),"")</x:f>
      </x:c>
      <x:c r="N63" s="38" t="str">
        <x:f>IF(OR(I63="",J63=""),"",IF(I63&gt;J63,F63,IF(J63&gt;I63,K63,"TIE")))</x:f>
      </x:c>
      <x:c r="O63" s="56" t="str">
        <x:f>IF(OR(I63="",J63=""),"",I63-J63)</x:f>
      </x:c>
    </x:row>
    <x:row r="64">
      <x:c r="A64" s="37" t="str">
        <x:v>RR-058</x:v>
      </x:c>
      <x:c r="B64" s="38" t="n">
        <x:v>12</x:v>
      </x:c>
      <x:c r="C64" s="38" t="str">
        <x:v>12:45 PM-1:00 PM</x:v>
      </x:c>
      <x:c r="D64" s="38" t="n">
        <x:v>3</x:v>
      </x:c>
      <x:c r="E64" s="38" t="str">
        <x:v>Novice</x:v>
      </x:c>
      <x:c r="F64" s="38" t="str">
        <x:v>O5</x:v>
      </x:c>
      <x:c r="G64" s="24" t="str">
        <x:f>IFERROR(VLOOKUP(E64&amp;"|"&amp;F64,'Pair Setup'!$A$7:$F$42,5,FALSE),"")</x:f>
      </x:c>
      <x:c r="H64" s="24" t="str">
        <x:f>IFERROR(VLOOKUP(E64&amp;"|"&amp;F64,'Pair Setup'!$A$7:$F$42,6,FALSE),"")</x:f>
      </x:c>
      <x:c r="I64" s="53" t="str"/>
      <x:c r="J64" s="53" t="str"/>
      <x:c r="K64" s="38" t="str">
        <x:v>R3</x:v>
      </x:c>
      <x:c r="L64" s="24" t="str">
        <x:f>IFERROR(VLOOKUP(E64&amp;"|"&amp;K64,'Pair Setup'!$A$7:$F$42,5,FALSE),"")</x:f>
      </x:c>
      <x:c r="M64" s="24" t="str">
        <x:f>IFERROR(VLOOKUP(E64&amp;"|"&amp;K64,'Pair Setup'!$A$7:$F$42,6,FALSE),"")</x:f>
      </x:c>
      <x:c r="N64" s="38" t="str">
        <x:f>IF(OR(I64="",J64=""),"",IF(I64&gt;J64,F64,IF(J64&gt;I64,K64,"TIE")))</x:f>
      </x:c>
      <x:c r="O64" s="56" t="str">
        <x:f>IF(OR(I64="",J64=""),"",I64-J64)</x:f>
      </x:c>
    </x:row>
    <x:row r="65">
      <x:c r="A65" s="37" t="str">
        <x:v>RR-059</x:v>
      </x:c>
      <x:c r="B65" s="38" t="n">
        <x:v>12</x:v>
      </x:c>
      <x:c r="C65" s="38" t="str">
        <x:v>12:45 PM-1:00 PM</x:v>
      </x:c>
      <x:c r="D65" s="38" t="n">
        <x:v>4</x:v>
      </x:c>
      <x:c r="E65" s="38" t="str">
        <x:v>Low Intermediate</x:v>
      </x:c>
      <x:c r="F65" s="38" t="str">
        <x:v>O1</x:v>
      </x:c>
      <x:c r="G65" s="24" t="str">
        <x:f>IFERROR(VLOOKUP(E65&amp;"|"&amp;F65,'Pair Setup'!$A$7:$F$42,5,FALSE),"")</x:f>
      </x:c>
      <x:c r="H65" s="24" t="str">
        <x:f>IFERROR(VLOOKUP(E65&amp;"|"&amp;F65,'Pair Setup'!$A$7:$F$42,6,FALSE),"")</x:f>
      </x:c>
      <x:c r="I65" s="53" t="str"/>
      <x:c r="J65" s="53" t="str"/>
      <x:c r="K65" s="38" t="str">
        <x:v>R3</x:v>
      </x:c>
      <x:c r="L65" s="24" t="str">
        <x:f>IFERROR(VLOOKUP(E65&amp;"|"&amp;K65,'Pair Setup'!$A$7:$F$42,5,FALSE),"")</x:f>
      </x:c>
      <x:c r="M65" s="24" t="str">
        <x:f>IFERROR(VLOOKUP(E65&amp;"|"&amp;K65,'Pair Setup'!$A$7:$F$42,6,FALSE),"")</x:f>
      </x:c>
      <x:c r="N65" s="38" t="str">
        <x:f>IF(OR(I65="",J65=""),"",IF(I65&gt;J65,F65,IF(J65&gt;I65,K65,"TIE")))</x:f>
      </x:c>
      <x:c r="O65" s="56" t="str">
        <x:f>IF(OR(I65="",J65=""),"",I65-J65)</x:f>
      </x:c>
    </x:row>
    <x:row r="66">
      <x:c r="A66" s="37" t="str">
        <x:v>RR-060</x:v>
      </x:c>
      <x:c r="B66" s="38" t="n">
        <x:v>12</x:v>
      </x:c>
      <x:c r="C66" s="38" t="str">
        <x:v>12:45 PM-1:00 PM</x:v>
      </x:c>
      <x:c r="D66" s="38" t="n">
        <x:v>5</x:v>
      </x:c>
      <x:c r="E66" s="38" t="str">
        <x:v>High Intermediate</x:v>
      </x:c>
      <x:c r="F66" s="38" t="str">
        <x:v>O5</x:v>
      </x:c>
      <x:c r="G66" s="24" t="str">
        <x:f>IFERROR(VLOOKUP(E66&amp;"|"&amp;F66,'Pair Setup'!$A$7:$F$42,5,FALSE),"")</x:f>
      </x:c>
      <x:c r="H66" s="24" t="str">
        <x:f>IFERROR(VLOOKUP(E66&amp;"|"&amp;F66,'Pair Setup'!$A$7:$F$42,6,FALSE),"")</x:f>
      </x:c>
      <x:c r="I66" s="53" t="str"/>
      <x:c r="J66" s="53" t="str"/>
      <x:c r="K66" s="38" t="str">
        <x:v>R5</x:v>
      </x:c>
      <x:c r="L66" s="24" t="str">
        <x:f>IFERROR(VLOOKUP(E66&amp;"|"&amp;K66,'Pair Setup'!$A$7:$F$42,5,FALSE),"")</x:f>
      </x:c>
      <x:c r="M66" s="24" t="str">
        <x:f>IFERROR(VLOOKUP(E66&amp;"|"&amp;K66,'Pair Setup'!$A$7:$F$42,6,FALSE),"")</x:f>
      </x:c>
      <x:c r="N66" s="38" t="str">
        <x:f>IF(OR(I66="",J66=""),"",IF(I66&gt;J66,F66,IF(J66&gt;I66,K66,"TIE")))</x:f>
      </x:c>
      <x:c r="O66" s="56" t="str">
        <x:f>IF(OR(I66="",J66=""),"",I66-J66)</x:f>
      </x:c>
    </x:row>
    <x:row r="67">
      <x:c r="A67" s="37" t="str">
        <x:v>RR-061</x:v>
      </x:c>
      <x:c r="B67" s="38" t="n">
        <x:v>13</x:v>
      </x:c>
      <x:c r="C67" s="38" t="str">
        <x:v>1:00 PM-1:15 PM</x:v>
      </x:c>
      <x:c r="D67" s="38" t="n">
        <x:v>1</x:v>
      </x:c>
      <x:c r="E67" s="38" t="str">
        <x:v>Novice</x:v>
      </x:c>
      <x:c r="F67" s="38" t="str">
        <x:v>O3</x:v>
      </x:c>
      <x:c r="G67" s="24" t="str">
        <x:f>IFERROR(VLOOKUP(E67&amp;"|"&amp;F67,'Pair Setup'!$A$7:$F$42,5,FALSE),"")</x:f>
      </x:c>
      <x:c r="H67" s="24" t="str">
        <x:f>IFERROR(VLOOKUP(E67&amp;"|"&amp;F67,'Pair Setup'!$A$7:$F$42,6,FALSE),"")</x:f>
      </x:c>
      <x:c r="I67" s="53" t="str"/>
      <x:c r="J67" s="53" t="str"/>
      <x:c r="K67" s="38" t="str">
        <x:v>R5</x:v>
      </x:c>
      <x:c r="L67" s="24" t="str">
        <x:f>IFERROR(VLOOKUP(E67&amp;"|"&amp;K67,'Pair Setup'!$A$7:$F$42,5,FALSE),"")</x:f>
      </x:c>
      <x:c r="M67" s="24" t="str">
        <x:f>IFERROR(VLOOKUP(E67&amp;"|"&amp;K67,'Pair Setup'!$A$7:$F$42,6,FALSE),"")</x:f>
      </x:c>
      <x:c r="N67" s="38" t="str">
        <x:f>IF(OR(I67="",J67=""),"",IF(I67&gt;J67,F67,IF(J67&gt;I67,K67,"TIE")))</x:f>
      </x:c>
      <x:c r="O67" s="56" t="str">
        <x:f>IF(OR(I67="",J67=""),"",I67-J67)</x:f>
      </x:c>
    </x:row>
    <x:row r="68">
      <x:c r="A68" s="37" t="str">
        <x:v>RR-062</x:v>
      </x:c>
      <x:c r="B68" s="38" t="n">
        <x:v>13</x:v>
      </x:c>
      <x:c r="C68" s="38" t="str">
        <x:v>1:00 PM-1:15 PM</x:v>
      </x:c>
      <x:c r="D68" s="38" t="n">
        <x:v>2</x:v>
      </x:c>
      <x:c r="E68" s="38" t="str">
        <x:v>Low Intermediate</x:v>
      </x:c>
      <x:c r="F68" s="38" t="str">
        <x:v>O5</x:v>
      </x:c>
      <x:c r="G68" s="24" t="str">
        <x:f>IFERROR(VLOOKUP(E68&amp;"|"&amp;F68,'Pair Setup'!$A$7:$F$42,5,FALSE),"")</x:f>
      </x:c>
      <x:c r="H68" s="24" t="str">
        <x:f>IFERROR(VLOOKUP(E68&amp;"|"&amp;F68,'Pair Setup'!$A$7:$F$42,6,FALSE),"")</x:f>
      </x:c>
      <x:c r="I68" s="53" t="str"/>
      <x:c r="J68" s="53" t="str"/>
      <x:c r="K68" s="38" t="str">
        <x:v>R5</x:v>
      </x:c>
      <x:c r="L68" s="24" t="str">
        <x:f>IFERROR(VLOOKUP(E68&amp;"|"&amp;K68,'Pair Setup'!$A$7:$F$42,5,FALSE),"")</x:f>
      </x:c>
      <x:c r="M68" s="24" t="str">
        <x:f>IFERROR(VLOOKUP(E68&amp;"|"&amp;K68,'Pair Setup'!$A$7:$F$42,6,FALSE),"")</x:f>
      </x:c>
      <x:c r="N68" s="38" t="str">
        <x:f>IF(OR(I68="",J68=""),"",IF(I68&gt;J68,F68,IF(J68&gt;I68,K68,"TIE")))</x:f>
      </x:c>
      <x:c r="O68" s="56" t="str">
        <x:f>IF(OR(I68="",J68=""),"",I68-J68)</x:f>
      </x:c>
    </x:row>
    <x:row r="69">
      <x:c r="A69" s="37" t="str">
        <x:v>RR-063</x:v>
      </x:c>
      <x:c r="B69" s="38" t="n">
        <x:v>13</x:v>
      </x:c>
      <x:c r="C69" s="38" t="str">
        <x:v>1:00 PM-1:15 PM</x:v>
      </x:c>
      <x:c r="D69" s="38" t="n">
        <x:v>3</x:v>
      </x:c>
      <x:c r="E69" s="38" t="str">
        <x:v>High Intermediate</x:v>
      </x:c>
      <x:c r="F69" s="38" t="str">
        <x:v>O6</x:v>
      </x:c>
      <x:c r="G69" s="24" t="str">
        <x:f>IFERROR(VLOOKUP(E69&amp;"|"&amp;F69,'Pair Setup'!$A$7:$F$42,5,FALSE),"")</x:f>
      </x:c>
      <x:c r="H69" s="24" t="str">
        <x:f>IFERROR(VLOOKUP(E69&amp;"|"&amp;F69,'Pair Setup'!$A$7:$F$42,6,FALSE),"")</x:f>
      </x:c>
      <x:c r="I69" s="53" t="str"/>
      <x:c r="J69" s="53" t="str"/>
      <x:c r="K69" s="38" t="str">
        <x:v>R1</x:v>
      </x:c>
      <x:c r="L69" s="24" t="str">
        <x:f>IFERROR(VLOOKUP(E69&amp;"|"&amp;K69,'Pair Setup'!$A$7:$F$42,5,FALSE),"")</x:f>
      </x:c>
      <x:c r="M69" s="24" t="str">
        <x:f>IFERROR(VLOOKUP(E69&amp;"|"&amp;K69,'Pair Setup'!$A$7:$F$42,6,FALSE),"")</x:f>
      </x:c>
      <x:c r="N69" s="38" t="str">
        <x:f>IF(OR(I69="",J69=""),"",IF(I69&gt;J69,F69,IF(J69&gt;I69,K69,"TIE")))</x:f>
      </x:c>
      <x:c r="O69" s="56" t="str">
        <x:f>IF(OR(I69="",J69=""),"",I69-J69)</x:f>
      </x:c>
    </x:row>
    <x:row r="70">
      <x:c r="A70" s="37" t="str">
        <x:v>RR-064</x:v>
      </x:c>
      <x:c r="B70" s="38" t="n">
        <x:v>13</x:v>
      </x:c>
      <x:c r="C70" s="38" t="str">
        <x:v>1:00 PM-1:15 PM</x:v>
      </x:c>
      <x:c r="D70" s="38" t="n">
        <x:v>4</x:v>
      </x:c>
      <x:c r="E70" s="38" t="str">
        <x:v>Novice</x:v>
      </x:c>
      <x:c r="F70" s="38" t="str">
        <x:v>O1</x:v>
      </x:c>
      <x:c r="G70" s="24" t="str">
        <x:f>IFERROR(VLOOKUP(E70&amp;"|"&amp;F70,'Pair Setup'!$A$7:$F$42,5,FALSE),"")</x:f>
      </x:c>
      <x:c r="H70" s="24" t="str">
        <x:f>IFERROR(VLOOKUP(E70&amp;"|"&amp;F70,'Pair Setup'!$A$7:$F$42,6,FALSE),"")</x:f>
      </x:c>
      <x:c r="I70" s="53" t="str"/>
      <x:c r="J70" s="53" t="str"/>
      <x:c r="K70" s="38" t="str">
        <x:v>R1</x:v>
      </x:c>
      <x:c r="L70" s="24" t="str">
        <x:f>IFERROR(VLOOKUP(E70&amp;"|"&amp;K70,'Pair Setup'!$A$7:$F$42,5,FALSE),"")</x:f>
      </x:c>
      <x:c r="M70" s="24" t="str">
        <x:f>IFERROR(VLOOKUP(E70&amp;"|"&amp;K70,'Pair Setup'!$A$7:$F$42,6,FALSE),"")</x:f>
      </x:c>
      <x:c r="N70" s="38" t="str">
        <x:f>IF(OR(I70="",J70=""),"",IF(I70&gt;J70,F70,IF(J70&gt;I70,K70,"TIE")))</x:f>
      </x:c>
      <x:c r="O70" s="56" t="str">
        <x:f>IF(OR(I70="",J70=""),"",I70-J70)</x:f>
      </x:c>
    </x:row>
    <x:row r="71">
      <x:c r="A71" s="37" t="str">
        <x:v>RR-065</x:v>
      </x:c>
      <x:c r="B71" s="38" t="n">
        <x:v>13</x:v>
      </x:c>
      <x:c r="C71" s="38" t="str">
        <x:v>1:00 PM-1:15 PM</x:v>
      </x:c>
      <x:c r="D71" s="38" t="n">
        <x:v>5</x:v>
      </x:c>
      <x:c r="E71" s="38" t="str">
        <x:v>High Intermediate</x:v>
      </x:c>
      <x:c r="F71" s="38" t="str">
        <x:v>O1</x:v>
      </x:c>
      <x:c r="G71" s="24" t="str">
        <x:f>IFERROR(VLOOKUP(E71&amp;"|"&amp;F71,'Pair Setup'!$A$7:$F$42,5,FALSE),"")</x:f>
      </x:c>
      <x:c r="H71" s="24" t="str">
        <x:f>IFERROR(VLOOKUP(E71&amp;"|"&amp;F71,'Pair Setup'!$A$7:$F$42,6,FALSE),"")</x:f>
      </x:c>
      <x:c r="I71" s="53" t="str"/>
      <x:c r="J71" s="53" t="str"/>
      <x:c r="K71" s="38" t="str">
        <x:v>R4</x:v>
      </x:c>
      <x:c r="L71" s="24" t="str">
        <x:f>IFERROR(VLOOKUP(E71&amp;"|"&amp;K71,'Pair Setup'!$A$7:$F$42,5,FALSE),"")</x:f>
      </x:c>
      <x:c r="M71" s="24" t="str">
        <x:f>IFERROR(VLOOKUP(E71&amp;"|"&amp;K71,'Pair Setup'!$A$7:$F$42,6,FALSE),"")</x:f>
      </x:c>
      <x:c r="N71" s="38" t="str">
        <x:f>IF(OR(I71="",J71=""),"",IF(I71&gt;J71,F71,IF(J71&gt;I71,K71,"TIE")))</x:f>
      </x:c>
      <x:c r="O71" s="56" t="str">
        <x:f>IF(OR(I71="",J71=""),"",I71-J71)</x:f>
      </x:c>
    </x:row>
    <x:row r="72">
      <x:c r="A72" s="37" t="str">
        <x:v>RR-066</x:v>
      </x:c>
      <x:c r="B72" s="38" t="n">
        <x:v>14</x:v>
      </x:c>
      <x:c r="C72" s="38" t="str">
        <x:v>1:15 PM-1:30 PM</x:v>
      </x:c>
      <x:c r="D72" s="38" t="n">
        <x:v>1</x:v>
      </x:c>
      <x:c r="E72" s="38" t="str">
        <x:v>Low Intermediate</x:v>
      </x:c>
      <x:c r="F72" s="38" t="str">
        <x:v>O2</x:v>
      </x:c>
      <x:c r="G72" s="24" t="str">
        <x:f>IFERROR(VLOOKUP(E72&amp;"|"&amp;F72,'Pair Setup'!$A$7:$F$42,5,FALSE),"")</x:f>
      </x:c>
      <x:c r="H72" s="24" t="str">
        <x:f>IFERROR(VLOOKUP(E72&amp;"|"&amp;F72,'Pair Setup'!$A$7:$F$42,6,FALSE),"")</x:f>
      </x:c>
      <x:c r="I72" s="53" t="str"/>
      <x:c r="J72" s="53" t="str"/>
      <x:c r="K72" s="38" t="str">
        <x:v>R1</x:v>
      </x:c>
      <x:c r="L72" s="24" t="str">
        <x:f>IFERROR(VLOOKUP(E72&amp;"|"&amp;K72,'Pair Setup'!$A$7:$F$42,5,FALSE),"")</x:f>
      </x:c>
      <x:c r="M72" s="24" t="str">
        <x:f>IFERROR(VLOOKUP(E72&amp;"|"&amp;K72,'Pair Setup'!$A$7:$F$42,6,FALSE),"")</x:f>
      </x:c>
      <x:c r="N72" s="38" t="str">
        <x:f>IF(OR(I72="",J72=""),"",IF(I72&gt;J72,F72,IF(J72&gt;I72,K72,"TIE")))</x:f>
      </x:c>
      <x:c r="O72" s="56" t="str">
        <x:f>IF(OR(I72="",J72=""),"",I72-J72)</x:f>
      </x:c>
    </x:row>
    <x:row r="73">
      <x:c r="A73" s="37" t="str">
        <x:v>RR-067</x:v>
      </x:c>
      <x:c r="B73" s="38" t="n">
        <x:v>14</x:v>
      </x:c>
      <x:c r="C73" s="38" t="str">
        <x:v>1:15 PM-1:30 PM</x:v>
      </x:c>
      <x:c r="D73" s="38" t="n">
        <x:v>2</x:v>
      </x:c>
      <x:c r="E73" s="38" t="str">
        <x:v>Novice</x:v>
      </x:c>
      <x:c r="F73" s="38" t="str">
        <x:v>O4</x:v>
      </x:c>
      <x:c r="G73" s="24" t="str">
        <x:f>IFERROR(VLOOKUP(E73&amp;"|"&amp;F73,'Pair Setup'!$A$7:$F$42,5,FALSE),"")</x:f>
      </x:c>
      <x:c r="H73" s="24" t="str">
        <x:f>IFERROR(VLOOKUP(E73&amp;"|"&amp;F73,'Pair Setup'!$A$7:$F$42,6,FALSE),"")</x:f>
      </x:c>
      <x:c r="I73" s="53" t="str"/>
      <x:c r="J73" s="53" t="str"/>
      <x:c r="K73" s="38" t="str">
        <x:v>R4</x:v>
      </x:c>
      <x:c r="L73" s="24" t="str">
        <x:f>IFERROR(VLOOKUP(E73&amp;"|"&amp;K73,'Pair Setup'!$A$7:$F$42,5,FALSE),"")</x:f>
      </x:c>
      <x:c r="M73" s="24" t="str">
        <x:f>IFERROR(VLOOKUP(E73&amp;"|"&amp;K73,'Pair Setup'!$A$7:$F$42,6,FALSE),"")</x:f>
      </x:c>
      <x:c r="N73" s="38" t="str">
        <x:f>IF(OR(I73="",J73=""),"",IF(I73&gt;J73,F73,IF(J73&gt;I73,K73,"TIE")))</x:f>
      </x:c>
      <x:c r="O73" s="56" t="str">
        <x:f>IF(OR(I73="",J73=""),"",I73-J73)</x:f>
      </x:c>
    </x:row>
    <x:row r="74">
      <x:c r="A74" s="37" t="str">
        <x:v>RR-068</x:v>
      </x:c>
      <x:c r="B74" s="38" t="n">
        <x:v>14</x:v>
      </x:c>
      <x:c r="C74" s="38" t="str">
        <x:v>1:15 PM-1:30 PM</x:v>
      </x:c>
      <x:c r="D74" s="38" t="n">
        <x:v>3</x:v>
      </x:c>
      <x:c r="E74" s="38" t="str">
        <x:v>High Intermediate</x:v>
      </x:c>
      <x:c r="F74" s="38" t="str">
        <x:v>O3</x:v>
      </x:c>
      <x:c r="G74" s="24" t="str">
        <x:f>IFERROR(VLOOKUP(E74&amp;"|"&amp;F74,'Pair Setup'!$A$7:$F$42,5,FALSE),"")</x:f>
      </x:c>
      <x:c r="H74" s="24" t="str">
        <x:f>IFERROR(VLOOKUP(E74&amp;"|"&amp;F74,'Pair Setup'!$A$7:$F$42,6,FALSE),"")</x:f>
      </x:c>
      <x:c r="I74" s="53" t="str"/>
      <x:c r="J74" s="53" t="str"/>
      <x:c r="K74" s="38" t="str">
        <x:v>R5</x:v>
      </x:c>
      <x:c r="L74" s="24" t="str">
        <x:f>IFERROR(VLOOKUP(E74&amp;"|"&amp;K74,'Pair Setup'!$A$7:$F$42,5,FALSE),"")</x:f>
      </x:c>
      <x:c r="M74" s="24" t="str">
        <x:f>IFERROR(VLOOKUP(E74&amp;"|"&amp;K74,'Pair Setup'!$A$7:$F$42,6,FALSE),"")</x:f>
      </x:c>
      <x:c r="N74" s="38" t="str">
        <x:f>IF(OR(I74="",J74=""),"",IF(I74&gt;J74,F74,IF(J74&gt;I74,K74,"TIE")))</x:f>
      </x:c>
      <x:c r="O74" s="56" t="str">
        <x:f>IF(OR(I74="",J74=""),"",I74-J74)</x:f>
      </x:c>
    </x:row>
    <x:row r="75">
      <x:c r="A75" s="37" t="str">
        <x:v>RR-069</x:v>
      </x:c>
      <x:c r="B75" s="38" t="n">
        <x:v>14</x:v>
      </x:c>
      <x:c r="C75" s="38" t="str">
        <x:v>1:15 PM-1:30 PM</x:v>
      </x:c>
      <x:c r="D75" s="38" t="n">
        <x:v>4</x:v>
      </x:c>
      <x:c r="E75" s="38" t="str">
        <x:v>Low Intermediate</x:v>
      </x:c>
      <x:c r="F75" s="38" t="str">
        <x:v>O4</x:v>
      </x:c>
      <x:c r="G75" s="24" t="str">
        <x:f>IFERROR(VLOOKUP(E75&amp;"|"&amp;F75,'Pair Setup'!$A$7:$F$42,5,FALSE),"")</x:f>
      </x:c>
      <x:c r="H75" s="24" t="str">
        <x:f>IFERROR(VLOOKUP(E75&amp;"|"&amp;F75,'Pair Setup'!$A$7:$F$42,6,FALSE),"")</x:f>
      </x:c>
      <x:c r="I75" s="53" t="str"/>
      <x:c r="J75" s="53" t="str"/>
      <x:c r="K75" s="38" t="str">
        <x:v>R6</x:v>
      </x:c>
      <x:c r="L75" s="24" t="str">
        <x:f>IFERROR(VLOOKUP(E75&amp;"|"&amp;K75,'Pair Setup'!$A$7:$F$42,5,FALSE),"")</x:f>
      </x:c>
      <x:c r="M75" s="24" t="str">
        <x:f>IFERROR(VLOOKUP(E75&amp;"|"&amp;K75,'Pair Setup'!$A$7:$F$42,6,FALSE),"")</x:f>
      </x:c>
      <x:c r="N75" s="38" t="str">
        <x:f>IF(OR(I75="",J75=""),"",IF(I75&gt;J75,F75,IF(J75&gt;I75,K75,"TIE")))</x:f>
      </x:c>
      <x:c r="O75" s="56" t="str">
        <x:f>IF(OR(I75="",J75=""),"",I75-J75)</x:f>
      </x:c>
    </x:row>
    <x:row r="76">
      <x:c r="A76" s="37" t="str">
        <x:v>RR-070</x:v>
      </x:c>
      <x:c r="B76" s="38" t="n">
        <x:v>14</x:v>
      </x:c>
      <x:c r="C76" s="38" t="str">
        <x:v>1:15 PM-1:30 PM</x:v>
      </x:c>
      <x:c r="D76" s="38" t="n">
        <x:v>5</x:v>
      </x:c>
      <x:c r="E76" s="38" t="str">
        <x:v>Novice</x:v>
      </x:c>
      <x:c r="F76" s="38" t="str">
        <x:v>O2</x:v>
      </x:c>
      <x:c r="G76" s="24" t="str">
        <x:f>IFERROR(VLOOKUP(E76&amp;"|"&amp;F76,'Pair Setup'!$A$7:$F$42,5,FALSE),"")</x:f>
      </x:c>
      <x:c r="H76" s="24" t="str">
        <x:f>IFERROR(VLOOKUP(E76&amp;"|"&amp;F76,'Pair Setup'!$A$7:$F$42,6,FALSE),"")</x:f>
      </x:c>
      <x:c r="I76" s="53" t="str"/>
      <x:c r="J76" s="53" t="str"/>
      <x:c r="K76" s="38" t="str">
        <x:v>R3</x:v>
      </x:c>
      <x:c r="L76" s="24" t="str">
        <x:f>IFERROR(VLOOKUP(E76&amp;"|"&amp;K76,'Pair Setup'!$A$7:$F$42,5,FALSE),"")</x:f>
      </x:c>
      <x:c r="M76" s="24" t="str">
        <x:f>IFERROR(VLOOKUP(E76&amp;"|"&amp;K76,'Pair Setup'!$A$7:$F$42,6,FALSE),"")</x:f>
      </x:c>
      <x:c r="N76" s="38" t="str">
        <x:f>IF(OR(I76="",J76=""),"",IF(I76&gt;J76,F76,IF(J76&gt;I76,K76,"TIE")))</x:f>
      </x:c>
      <x:c r="O76" s="56" t="str">
        <x:f>IF(OR(I76="",J76=""),"",I76-J76)</x:f>
      </x:c>
    </x:row>
    <x:row r="77">
      <x:c r="A77" s="37" t="str">
        <x:v>RR-071</x:v>
      </x:c>
      <x:c r="B77" s="38" t="n">
        <x:v>15</x:v>
      </x:c>
      <x:c r="C77" s="38" t="str">
        <x:v>1:30 PM-1:45 PM</x:v>
      </x:c>
      <x:c r="D77" s="38" t="n">
        <x:v>1</x:v>
      </x:c>
      <x:c r="E77" s="38" t="str">
        <x:v>Low Intermediate</x:v>
      </x:c>
      <x:c r="F77" s="38" t="str">
        <x:v>O3</x:v>
      </x:c>
      <x:c r="G77" s="24" t="str">
        <x:f>IFERROR(VLOOKUP(E77&amp;"|"&amp;F77,'Pair Setup'!$A$7:$F$42,5,FALSE),"")</x:f>
      </x:c>
      <x:c r="H77" s="24" t="str">
        <x:f>IFERROR(VLOOKUP(E77&amp;"|"&amp;F77,'Pair Setup'!$A$7:$F$42,6,FALSE),"")</x:f>
      </x:c>
      <x:c r="I77" s="53" t="str"/>
      <x:c r="J77" s="53" t="str"/>
      <x:c r="K77" s="38" t="str">
        <x:v>R5</x:v>
      </x:c>
      <x:c r="L77" s="24" t="str">
        <x:f>IFERROR(VLOOKUP(E77&amp;"|"&amp;K77,'Pair Setup'!$A$7:$F$42,5,FALSE),"")</x:f>
      </x:c>
      <x:c r="M77" s="24" t="str">
        <x:f>IFERROR(VLOOKUP(E77&amp;"|"&amp;K77,'Pair Setup'!$A$7:$F$42,6,FALSE),"")</x:f>
      </x:c>
      <x:c r="N77" s="38" t="str">
        <x:f>IF(OR(I77="",J77=""),"",IF(I77&gt;J77,F77,IF(J77&gt;I77,K77,"TIE")))</x:f>
      </x:c>
      <x:c r="O77" s="56" t="str">
        <x:f>IF(OR(I77="",J77=""),"",I77-J77)</x:f>
      </x:c>
    </x:row>
    <x:row r="78">
      <x:c r="A78" s="37" t="str">
        <x:v>RR-072</x:v>
      </x:c>
      <x:c r="B78" s="38" t="n">
        <x:v>15</x:v>
      </x:c>
      <x:c r="C78" s="38" t="str">
        <x:v>1:30 PM-1:45 PM</x:v>
      </x:c>
      <x:c r="D78" s="38" t="n">
        <x:v>2</x:v>
      </x:c>
      <x:c r="E78" s="38" t="str">
        <x:v>High Intermediate</x:v>
      </x:c>
      <x:c r="F78" s="38" t="str">
        <x:v>O4</x:v>
      </x:c>
      <x:c r="G78" s="24" t="str">
        <x:f>IFERROR(VLOOKUP(E78&amp;"|"&amp;F78,'Pair Setup'!$A$7:$F$42,5,FALSE),"")</x:f>
      </x:c>
      <x:c r="H78" s="24" t="str">
        <x:f>IFERROR(VLOOKUP(E78&amp;"|"&amp;F78,'Pair Setup'!$A$7:$F$42,6,FALSE),"")</x:f>
      </x:c>
      <x:c r="I78" s="53" t="str"/>
      <x:c r="J78" s="53" t="str"/>
      <x:c r="K78" s="38" t="str">
        <x:v>R6</x:v>
      </x:c>
      <x:c r="L78" s="24" t="str">
        <x:f>IFERROR(VLOOKUP(E78&amp;"|"&amp;K78,'Pair Setup'!$A$7:$F$42,5,FALSE),"")</x:f>
      </x:c>
      <x:c r="M78" s="24" t="str">
        <x:f>IFERROR(VLOOKUP(E78&amp;"|"&amp;K78,'Pair Setup'!$A$7:$F$42,6,FALSE),"")</x:f>
      </x:c>
      <x:c r="N78" s="38" t="str">
        <x:f>IF(OR(I78="",J78=""),"",IF(I78&gt;J78,F78,IF(J78&gt;I78,K78,"TIE")))</x:f>
      </x:c>
      <x:c r="O78" s="56" t="str">
        <x:f>IF(OR(I78="",J78=""),"",I78-J78)</x:f>
      </x:c>
    </x:row>
    <x:row r="79">
      <x:c r="A79" s="37" t="str">
        <x:v>RR-073</x:v>
      </x:c>
      <x:c r="B79" s="38" t="n">
        <x:v>15</x:v>
      </x:c>
      <x:c r="C79" s="38" t="str">
        <x:v>1:30 PM-1:45 PM</x:v>
      </x:c>
      <x:c r="D79" s="38" t="n">
        <x:v>3</x:v>
      </x:c>
      <x:c r="E79" s="38" t="str">
        <x:v>Novice</x:v>
      </x:c>
      <x:c r="F79" s="38" t="str">
        <x:v>O6</x:v>
      </x:c>
      <x:c r="G79" s="24" t="str">
        <x:f>IFERROR(VLOOKUP(E79&amp;"|"&amp;F79,'Pair Setup'!$A$7:$F$42,5,FALSE),"")</x:f>
      </x:c>
      <x:c r="H79" s="24" t="str">
        <x:f>IFERROR(VLOOKUP(E79&amp;"|"&amp;F79,'Pair Setup'!$A$7:$F$42,6,FALSE),"")</x:f>
      </x:c>
      <x:c r="I79" s="53" t="str"/>
      <x:c r="J79" s="53" t="str"/>
      <x:c r="K79" s="38" t="str">
        <x:v>R1</x:v>
      </x:c>
      <x:c r="L79" s="24" t="str">
        <x:f>IFERROR(VLOOKUP(E79&amp;"|"&amp;K79,'Pair Setup'!$A$7:$F$42,5,FALSE),"")</x:f>
      </x:c>
      <x:c r="M79" s="24" t="str">
        <x:f>IFERROR(VLOOKUP(E79&amp;"|"&amp;K79,'Pair Setup'!$A$7:$F$42,6,FALSE),"")</x:f>
      </x:c>
      <x:c r="N79" s="38" t="str">
        <x:f>IF(OR(I79="",J79=""),"",IF(I79&gt;J79,F79,IF(J79&gt;I79,K79,"TIE")))</x:f>
      </x:c>
      <x:c r="O79" s="56" t="str">
        <x:f>IF(OR(I79="",J79=""),"",I79-J79)</x:f>
      </x:c>
    </x:row>
    <x:row r="80">
      <x:c r="A80" s="37" t="str">
        <x:v>RR-074</x:v>
      </x:c>
      <x:c r="B80" s="38" t="n">
        <x:v>15</x:v>
      </x:c>
      <x:c r="C80" s="38" t="str">
        <x:v>1:30 PM-1:45 PM</x:v>
      </x:c>
      <x:c r="D80" s="38" t="n">
        <x:v>4</x:v>
      </x:c>
      <x:c r="E80" s="38" t="str">
        <x:v>Low Intermediate</x:v>
      </x:c>
      <x:c r="F80" s="38" t="str">
        <x:v>O5</x:v>
      </x:c>
      <x:c r="G80" s="24" t="str">
        <x:f>IFERROR(VLOOKUP(E80&amp;"|"&amp;F80,'Pair Setup'!$A$7:$F$42,5,FALSE),"")</x:f>
      </x:c>
      <x:c r="H80" s="24" t="str">
        <x:f>IFERROR(VLOOKUP(E80&amp;"|"&amp;F80,'Pair Setup'!$A$7:$F$42,6,FALSE),"")</x:f>
      </x:c>
      <x:c r="I80" s="53" t="str"/>
      <x:c r="J80" s="53" t="str"/>
      <x:c r="K80" s="38" t="str">
        <x:v>R4</x:v>
      </x:c>
      <x:c r="L80" s="24" t="str">
        <x:f>IFERROR(VLOOKUP(E80&amp;"|"&amp;K80,'Pair Setup'!$A$7:$F$42,5,FALSE),"")</x:f>
      </x:c>
      <x:c r="M80" s="24" t="str">
        <x:f>IFERROR(VLOOKUP(E80&amp;"|"&amp;K80,'Pair Setup'!$A$7:$F$42,6,FALSE),"")</x:f>
      </x:c>
      <x:c r="N80" s="38" t="str">
        <x:f>IF(OR(I80="",J80=""),"",IF(I80&gt;J80,F80,IF(J80&gt;I80,K80,"TIE")))</x:f>
      </x:c>
      <x:c r="O80" s="56" t="str">
        <x:f>IF(OR(I80="",J80=""),"",I80-J80)</x:f>
      </x:c>
    </x:row>
    <x:row r="81">
      <x:c r="A81" s="37" t="str">
        <x:v>RR-075</x:v>
      </x:c>
      <x:c r="B81" s="38" t="n">
        <x:v>15</x:v>
      </x:c>
      <x:c r="C81" s="38" t="str">
        <x:v>1:30 PM-1:45 PM</x:v>
      </x:c>
      <x:c r="D81" s="38" t="n">
        <x:v>5</x:v>
      </x:c>
      <x:c r="E81" s="38" t="str">
        <x:v>High Intermediate</x:v>
      </x:c>
      <x:c r="F81" s="38" t="str">
        <x:v>O5</x:v>
      </x:c>
      <x:c r="G81" s="24" t="str">
        <x:f>IFERROR(VLOOKUP(E81&amp;"|"&amp;F81,'Pair Setup'!$A$7:$F$42,5,FALSE),"")</x:f>
      </x:c>
      <x:c r="H81" s="24" t="str">
        <x:f>IFERROR(VLOOKUP(E81&amp;"|"&amp;F81,'Pair Setup'!$A$7:$F$42,6,FALSE),"")</x:f>
      </x:c>
      <x:c r="I81" s="53" t="str"/>
      <x:c r="J81" s="53" t="str"/>
      <x:c r="K81" s="38" t="str">
        <x:v>R2</x:v>
      </x:c>
      <x:c r="L81" s="24" t="str">
        <x:f>IFERROR(VLOOKUP(E81&amp;"|"&amp;K81,'Pair Setup'!$A$7:$F$42,5,FALSE),"")</x:f>
      </x:c>
      <x:c r="M81" s="24" t="str">
        <x:f>IFERROR(VLOOKUP(E81&amp;"|"&amp;K81,'Pair Setup'!$A$7:$F$42,6,FALSE),"")</x:f>
      </x:c>
      <x:c r="N81" s="38" t="str">
        <x:f>IF(OR(I81="",J81=""),"",IF(I81&gt;J81,F81,IF(J81&gt;I81,K81,"TIE")))</x:f>
      </x:c>
      <x:c r="O81" s="56" t="str">
        <x:f>IF(OR(I81="",J81=""),"",I81-J81)</x:f>
      </x:c>
    </x:row>
    <x:row r="82">
      <x:c r="A82" s="37" t="str">
        <x:v>RR-076</x:v>
      </x:c>
      <x:c r="B82" s="38" t="n">
        <x:v>16</x:v>
      </x:c>
      <x:c r="C82" s="38" t="str">
        <x:v>1:45 PM-2:00 PM</x:v>
      </x:c>
      <x:c r="D82" s="38" t="n">
        <x:v>1</x:v>
      </x:c>
      <x:c r="E82" s="38" t="str">
        <x:v>Novice</x:v>
      </x:c>
      <x:c r="F82" s="38" t="str">
        <x:v>O2</x:v>
      </x:c>
      <x:c r="G82" s="24" t="str">
        <x:f>IFERROR(VLOOKUP(E82&amp;"|"&amp;F82,'Pair Setup'!$A$7:$F$42,5,FALSE),"")</x:f>
      </x:c>
      <x:c r="H82" s="24" t="str">
        <x:f>IFERROR(VLOOKUP(E82&amp;"|"&amp;F82,'Pair Setup'!$A$7:$F$42,6,FALSE),"")</x:f>
      </x:c>
      <x:c r="I82" s="53" t="str"/>
      <x:c r="J82" s="53" t="str"/>
      <x:c r="K82" s="38" t="str">
        <x:v>R4</x:v>
      </x:c>
      <x:c r="L82" s="24" t="str">
        <x:f>IFERROR(VLOOKUP(E82&amp;"|"&amp;K82,'Pair Setup'!$A$7:$F$42,5,FALSE),"")</x:f>
      </x:c>
      <x:c r="M82" s="24" t="str">
        <x:f>IFERROR(VLOOKUP(E82&amp;"|"&amp;K82,'Pair Setup'!$A$7:$F$42,6,FALSE),"")</x:f>
      </x:c>
      <x:c r="N82" s="38" t="str">
        <x:f>IF(OR(I82="",J82=""),"",IF(I82&gt;J82,F82,IF(J82&gt;I82,K82,"TIE")))</x:f>
      </x:c>
      <x:c r="O82" s="56" t="str">
        <x:f>IF(OR(I82="",J82=""),"",I82-J82)</x:f>
      </x:c>
    </x:row>
    <x:row r="83">
      <x:c r="A83" s="37" t="str">
        <x:v>RR-077</x:v>
      </x:c>
      <x:c r="B83" s="38" t="n">
        <x:v>16</x:v>
      </x:c>
      <x:c r="C83" s="38" t="str">
        <x:v>1:45 PM-2:00 PM</x:v>
      </x:c>
      <x:c r="D83" s="38" t="n">
        <x:v>2</x:v>
      </x:c>
      <x:c r="E83" s="38" t="str">
        <x:v>High Intermediate</x:v>
      </x:c>
      <x:c r="F83" s="38" t="str">
        <x:v>O1</x:v>
      </x:c>
      <x:c r="G83" s="24" t="str">
        <x:f>IFERROR(VLOOKUP(E83&amp;"|"&amp;F83,'Pair Setup'!$A$7:$F$42,5,FALSE),"")</x:f>
      </x:c>
      <x:c r="H83" s="24" t="str">
        <x:f>IFERROR(VLOOKUP(E83&amp;"|"&amp;F83,'Pair Setup'!$A$7:$F$42,6,FALSE),"")</x:f>
      </x:c>
      <x:c r="I83" s="53" t="str"/>
      <x:c r="J83" s="53" t="str"/>
      <x:c r="K83" s="38" t="str">
        <x:v>R1</x:v>
      </x:c>
      <x:c r="L83" s="24" t="str">
        <x:f>IFERROR(VLOOKUP(E83&amp;"|"&amp;K83,'Pair Setup'!$A$7:$F$42,5,FALSE),"")</x:f>
      </x:c>
      <x:c r="M83" s="24" t="str">
        <x:f>IFERROR(VLOOKUP(E83&amp;"|"&amp;K83,'Pair Setup'!$A$7:$F$42,6,FALSE),"")</x:f>
      </x:c>
      <x:c r="N83" s="38" t="str">
        <x:f>IF(OR(I83="",J83=""),"",IF(I83&gt;J83,F83,IF(J83&gt;I83,K83,"TIE")))</x:f>
      </x:c>
      <x:c r="O83" s="56" t="str">
        <x:f>IF(OR(I83="",J83=""),"",I83-J83)</x:f>
      </x:c>
    </x:row>
    <x:row r="84">
      <x:c r="A84" s="37" t="str">
        <x:v>RR-078</x:v>
      </x:c>
      <x:c r="B84" s="38" t="n">
        <x:v>16</x:v>
      </x:c>
      <x:c r="C84" s="38" t="str">
        <x:v>1:45 PM-2:00 PM</x:v>
      </x:c>
      <x:c r="D84" s="38" t="n">
        <x:v>3</x:v>
      </x:c>
      <x:c r="E84" s="38" t="str">
        <x:v>Low Intermediate</x:v>
      </x:c>
      <x:c r="F84" s="38" t="str">
        <x:v>O6</x:v>
      </x:c>
      <x:c r="G84" s="24" t="str">
        <x:f>IFERROR(VLOOKUP(E84&amp;"|"&amp;F84,'Pair Setup'!$A$7:$F$42,5,FALSE),"")</x:f>
      </x:c>
      <x:c r="H84" s="24" t="str">
        <x:f>IFERROR(VLOOKUP(E84&amp;"|"&amp;F84,'Pair Setup'!$A$7:$F$42,6,FALSE),"")</x:f>
      </x:c>
      <x:c r="I84" s="53" t="str"/>
      <x:c r="J84" s="53" t="str"/>
      <x:c r="K84" s="38" t="str">
        <x:v>R3</x:v>
      </x:c>
      <x:c r="L84" s="24" t="str">
        <x:f>IFERROR(VLOOKUP(E84&amp;"|"&amp;K84,'Pair Setup'!$A$7:$F$42,5,FALSE),"")</x:f>
      </x:c>
      <x:c r="M84" s="24" t="str">
        <x:f>IFERROR(VLOOKUP(E84&amp;"|"&amp;K84,'Pair Setup'!$A$7:$F$42,6,FALSE),"")</x:f>
      </x:c>
      <x:c r="N84" s="38" t="str">
        <x:f>IF(OR(I84="",J84=""),"",IF(I84&gt;J84,F84,IF(J84&gt;I84,K84,"TIE")))</x:f>
      </x:c>
      <x:c r="O84" s="56" t="str">
        <x:f>IF(OR(I84="",J84=""),"",I84-J84)</x:f>
      </x:c>
    </x:row>
    <x:row r="85">
      <x:c r="A85" s="37" t="str">
        <x:v>RR-079</x:v>
      </x:c>
      <x:c r="B85" s="38" t="n">
        <x:v>16</x:v>
      </x:c>
      <x:c r="C85" s="38" t="str">
        <x:v>1:45 PM-2:00 PM</x:v>
      </x:c>
      <x:c r="D85" s="38" t="n">
        <x:v>4</x:v>
      </x:c>
      <x:c r="E85" s="38" t="str">
        <x:v>Novice</x:v>
      </x:c>
      <x:c r="F85" s="38" t="str">
        <x:v>O3</x:v>
      </x:c>
      <x:c r="G85" s="24" t="str">
        <x:f>IFERROR(VLOOKUP(E85&amp;"|"&amp;F85,'Pair Setup'!$A$7:$F$42,5,FALSE),"")</x:f>
      </x:c>
      <x:c r="H85" s="24" t="str">
        <x:f>IFERROR(VLOOKUP(E85&amp;"|"&amp;F85,'Pair Setup'!$A$7:$F$42,6,FALSE),"")</x:f>
      </x:c>
      <x:c r="I85" s="53" t="str"/>
      <x:c r="J85" s="53" t="str"/>
      <x:c r="K85" s="38" t="str">
        <x:v>R6</x:v>
      </x:c>
      <x:c r="L85" s="24" t="str">
        <x:f>IFERROR(VLOOKUP(E85&amp;"|"&amp;K85,'Pair Setup'!$A$7:$F$42,5,FALSE),"")</x:f>
      </x:c>
      <x:c r="M85" s="24" t="str">
        <x:f>IFERROR(VLOOKUP(E85&amp;"|"&amp;K85,'Pair Setup'!$A$7:$F$42,6,FALSE),"")</x:f>
      </x:c>
      <x:c r="N85" s="38" t="str">
        <x:f>IF(OR(I85="",J85=""),"",IF(I85&gt;J85,F85,IF(J85&gt;I85,K85,"TIE")))</x:f>
      </x:c>
      <x:c r="O85" s="56" t="str">
        <x:f>IF(OR(I85="",J85=""),"",I85-J85)</x:f>
      </x:c>
    </x:row>
    <x:row r="86">
      <x:c r="A86" s="37" t="str">
        <x:v>RR-080</x:v>
      </x:c>
      <x:c r="B86" s="38" t="n">
        <x:v>16</x:v>
      </x:c>
      <x:c r="C86" s="38" t="str">
        <x:v>1:45 PM-2:00 PM</x:v>
      </x:c>
      <x:c r="D86" s="38" t="n">
        <x:v>5</x:v>
      </x:c>
      <x:c r="E86" s="38" t="str">
        <x:v>Low Intermediate</x:v>
      </x:c>
      <x:c r="F86" s="38" t="str">
        <x:v>O1</x:v>
      </x:c>
      <x:c r="G86" s="24" t="str">
        <x:f>IFERROR(VLOOKUP(E86&amp;"|"&amp;F86,'Pair Setup'!$A$7:$F$42,5,FALSE),"")</x:f>
      </x:c>
      <x:c r="H86" s="24" t="str">
        <x:f>IFERROR(VLOOKUP(E86&amp;"|"&amp;F86,'Pair Setup'!$A$7:$F$42,6,FALSE),"")</x:f>
      </x:c>
      <x:c r="I86" s="53" t="str"/>
      <x:c r="J86" s="53" t="str"/>
      <x:c r="K86" s="38" t="str">
        <x:v>R6</x:v>
      </x:c>
      <x:c r="L86" s="24" t="str">
        <x:f>IFERROR(VLOOKUP(E86&amp;"|"&amp;K86,'Pair Setup'!$A$7:$F$42,5,FALSE),"")</x:f>
      </x:c>
      <x:c r="M86" s="24" t="str">
        <x:f>IFERROR(VLOOKUP(E86&amp;"|"&amp;K86,'Pair Setup'!$A$7:$F$42,6,FALSE),"")</x:f>
      </x:c>
      <x:c r="N86" s="38" t="str">
        <x:f>IF(OR(I86="",J86=""),"",IF(I86&gt;J86,F86,IF(J86&gt;I86,K86,"TIE")))</x:f>
      </x:c>
      <x:c r="O86" s="56" t="str">
        <x:f>IF(OR(I86="",J86=""),"",I86-J86)</x:f>
      </x:c>
    </x:row>
    <x:row r="87">
      <x:c r="A87" s="37" t="str">
        <x:v>RR-081</x:v>
      </x:c>
      <x:c r="B87" s="38" t="n">
        <x:v>17</x:v>
      </x:c>
      <x:c r="C87" s="38" t="str">
        <x:v>2:00 PM-2:15 PM</x:v>
      </x:c>
      <x:c r="D87" s="38" t="n">
        <x:v>1</x:v>
      </x:c>
      <x:c r="E87" s="38" t="str">
        <x:v>High Intermediate</x:v>
      </x:c>
      <x:c r="F87" s="38" t="str">
        <x:v>O2</x:v>
      </x:c>
      <x:c r="G87" s="24" t="str">
        <x:f>IFERROR(VLOOKUP(E87&amp;"|"&amp;F87,'Pair Setup'!$A$7:$F$42,5,FALSE),"")</x:f>
      </x:c>
      <x:c r="H87" s="24" t="str">
        <x:f>IFERROR(VLOOKUP(E87&amp;"|"&amp;F87,'Pair Setup'!$A$7:$F$42,6,FALSE),"")</x:f>
      </x:c>
      <x:c r="I87" s="53" t="str"/>
      <x:c r="J87" s="53" t="str"/>
      <x:c r="K87" s="38" t="str">
        <x:v>R3</x:v>
      </x:c>
      <x:c r="L87" s="24" t="str">
        <x:f>IFERROR(VLOOKUP(E87&amp;"|"&amp;K87,'Pair Setup'!$A$7:$F$42,5,FALSE),"")</x:f>
      </x:c>
      <x:c r="M87" s="24" t="str">
        <x:f>IFERROR(VLOOKUP(E87&amp;"|"&amp;K87,'Pair Setup'!$A$7:$F$42,6,FALSE),"")</x:f>
      </x:c>
      <x:c r="N87" s="38" t="str">
        <x:f>IF(OR(I87="",J87=""),"",IF(I87&gt;J87,F87,IF(J87&gt;I87,K87,"TIE")))</x:f>
      </x:c>
      <x:c r="O87" s="56" t="str">
        <x:f>IF(OR(I87="",J87=""),"",I87-J87)</x:f>
      </x:c>
    </x:row>
    <x:row r="88">
      <x:c r="A88" s="37" t="str">
        <x:v>RR-082</x:v>
      </x:c>
      <x:c r="B88" s="38" t="n">
        <x:v>17</x:v>
      </x:c>
      <x:c r="C88" s="38" t="str">
        <x:v>2:00 PM-2:15 PM</x:v>
      </x:c>
      <x:c r="D88" s="38" t="n">
        <x:v>2</x:v>
      </x:c>
      <x:c r="E88" s="38" t="str">
        <x:v>Low Intermediate</x:v>
      </x:c>
      <x:c r="F88" s="38" t="str">
        <x:v>O2</x:v>
      </x:c>
      <x:c r="G88" s="24" t="str">
        <x:f>IFERROR(VLOOKUP(E88&amp;"|"&amp;F88,'Pair Setup'!$A$7:$F$42,5,FALSE),"")</x:f>
      </x:c>
      <x:c r="H88" s="24" t="str">
        <x:f>IFERROR(VLOOKUP(E88&amp;"|"&amp;F88,'Pair Setup'!$A$7:$F$42,6,FALSE),"")</x:f>
      </x:c>
      <x:c r="I88" s="53" t="str"/>
      <x:c r="J88" s="53" t="str"/>
      <x:c r="K88" s="38" t="str">
        <x:v>R4</x:v>
      </x:c>
      <x:c r="L88" s="24" t="str">
        <x:f>IFERROR(VLOOKUP(E88&amp;"|"&amp;K88,'Pair Setup'!$A$7:$F$42,5,FALSE),"")</x:f>
      </x:c>
      <x:c r="M88" s="24" t="str">
        <x:f>IFERROR(VLOOKUP(E88&amp;"|"&amp;K88,'Pair Setup'!$A$7:$F$42,6,FALSE),"")</x:f>
      </x:c>
      <x:c r="N88" s="38" t="str">
        <x:f>IF(OR(I88="",J88=""),"",IF(I88&gt;J88,F88,IF(J88&gt;I88,K88,"TIE")))</x:f>
      </x:c>
      <x:c r="O88" s="56" t="str">
        <x:f>IF(OR(I88="",J88=""),"",I88-J88)</x:f>
      </x:c>
    </x:row>
    <x:row r="89">
      <x:c r="A89" s="37" t="str">
        <x:v>RR-083</x:v>
      </x:c>
      <x:c r="B89" s="38" t="n">
        <x:v>17</x:v>
      </x:c>
      <x:c r="C89" s="38" t="str">
        <x:v>2:00 PM-2:15 PM</x:v>
      </x:c>
      <x:c r="D89" s="38" t="n">
        <x:v>3</x:v>
      </x:c>
      <x:c r="E89" s="38" t="str">
        <x:v>Novice</x:v>
      </x:c>
      <x:c r="F89" s="38" t="str">
        <x:v>O5</x:v>
      </x:c>
      <x:c r="G89" s="24" t="str">
        <x:f>IFERROR(VLOOKUP(E89&amp;"|"&amp;F89,'Pair Setup'!$A$7:$F$42,5,FALSE),"")</x:f>
      </x:c>
      <x:c r="H89" s="24" t="str">
        <x:f>IFERROR(VLOOKUP(E89&amp;"|"&amp;F89,'Pair Setup'!$A$7:$F$42,6,FALSE),"")</x:f>
      </x:c>
      <x:c r="I89" s="53" t="str"/>
      <x:c r="J89" s="53" t="str"/>
      <x:c r="K89" s="38" t="str">
        <x:v>R5</x:v>
      </x:c>
      <x:c r="L89" s="24" t="str">
        <x:f>IFERROR(VLOOKUP(E89&amp;"|"&amp;K89,'Pair Setup'!$A$7:$F$42,5,FALSE),"")</x:f>
      </x:c>
      <x:c r="M89" s="24" t="str">
        <x:f>IFERROR(VLOOKUP(E89&amp;"|"&amp;K89,'Pair Setup'!$A$7:$F$42,6,FALSE),"")</x:f>
      </x:c>
      <x:c r="N89" s="38" t="str">
        <x:f>IF(OR(I89="",J89=""),"",IF(I89&gt;J89,F89,IF(J89&gt;I89,K89,"TIE")))</x:f>
      </x:c>
      <x:c r="O89" s="56" t="str">
        <x:f>IF(OR(I89="",J89=""),"",I89-J89)</x:f>
      </x:c>
    </x:row>
    <x:row r="90">
      <x:c r="A90" s="37" t="str">
        <x:v>RR-084</x:v>
      </x:c>
      <x:c r="B90" s="38" t="n">
        <x:v>17</x:v>
      </x:c>
      <x:c r="C90" s="38" t="str">
        <x:v>2:00 PM-2:15 PM</x:v>
      </x:c>
      <x:c r="D90" s="38" t="n">
        <x:v>4</x:v>
      </x:c>
      <x:c r="E90" s="38" t="str">
        <x:v>High Intermediate</x:v>
      </x:c>
      <x:c r="F90" s="38" t="str">
        <x:v>O3</x:v>
      </x:c>
      <x:c r="G90" s="24" t="str">
        <x:f>IFERROR(VLOOKUP(E90&amp;"|"&amp;F90,'Pair Setup'!$A$7:$F$42,5,FALSE),"")</x:f>
      </x:c>
      <x:c r="H90" s="24" t="str">
        <x:f>IFERROR(VLOOKUP(E90&amp;"|"&amp;F90,'Pair Setup'!$A$7:$F$42,6,FALSE),"")</x:f>
      </x:c>
      <x:c r="I90" s="53" t="str"/>
      <x:c r="J90" s="53" t="str"/>
      <x:c r="K90" s="38" t="str">
        <x:v>R6</x:v>
      </x:c>
      <x:c r="L90" s="24" t="str">
        <x:f>IFERROR(VLOOKUP(E90&amp;"|"&amp;K90,'Pair Setup'!$A$7:$F$42,5,FALSE),"")</x:f>
      </x:c>
      <x:c r="M90" s="24" t="str">
        <x:f>IFERROR(VLOOKUP(E90&amp;"|"&amp;K90,'Pair Setup'!$A$7:$F$42,6,FALSE),"")</x:f>
      </x:c>
      <x:c r="N90" s="38" t="str">
        <x:f>IF(OR(I90="",J90=""),"",IF(I90&gt;J90,F90,IF(J90&gt;I90,K90,"TIE")))</x:f>
      </x:c>
      <x:c r="O90" s="56" t="str">
        <x:f>IF(OR(I90="",J90=""),"",I90-J90)</x:f>
      </x:c>
    </x:row>
    <x:row r="91">
      <x:c r="A91" s="37" t="str">
        <x:v>RR-085</x:v>
      </x:c>
      <x:c r="B91" s="38" t="n">
        <x:v>17</x:v>
      </x:c>
      <x:c r="C91" s="38" t="str">
        <x:v>2:00 PM-2:15 PM</x:v>
      </x:c>
      <x:c r="D91" s="38" t="n">
        <x:v>5</x:v>
      </x:c>
      <x:c r="E91" s="38" t="str">
        <x:v>Novice</x:v>
      </x:c>
      <x:c r="F91" s="38" t="str">
        <x:v>O1</x:v>
      </x:c>
      <x:c r="G91" s="24" t="str">
        <x:f>IFERROR(VLOOKUP(E91&amp;"|"&amp;F91,'Pair Setup'!$A$7:$F$42,5,FALSE),"")</x:f>
      </x:c>
      <x:c r="H91" s="24" t="str">
        <x:f>IFERROR(VLOOKUP(E91&amp;"|"&amp;F91,'Pair Setup'!$A$7:$F$42,6,FALSE),"")</x:f>
      </x:c>
      <x:c r="I91" s="53" t="str"/>
      <x:c r="J91" s="53" t="str"/>
      <x:c r="K91" s="38" t="str">
        <x:v>R2</x:v>
      </x:c>
      <x:c r="L91" s="24" t="str">
        <x:f>IFERROR(VLOOKUP(E91&amp;"|"&amp;K91,'Pair Setup'!$A$7:$F$42,5,FALSE),"")</x:f>
      </x:c>
      <x:c r="M91" s="24" t="str">
        <x:f>IFERROR(VLOOKUP(E91&amp;"|"&amp;K91,'Pair Setup'!$A$7:$F$42,6,FALSE),"")</x:f>
      </x:c>
      <x:c r="N91" s="38" t="str">
        <x:f>IF(OR(I91="",J91=""),"",IF(I91&gt;J91,F91,IF(J91&gt;I91,K91,"TIE")))</x:f>
      </x:c>
      <x:c r="O91" s="56" t="str">
        <x:f>IF(OR(I91="",J91=""),"",I91-J91)</x:f>
      </x:c>
    </x:row>
    <x:row r="92">
      <x:c r="A92" s="37" t="str">
        <x:v>RR-086</x:v>
      </x:c>
      <x:c r="B92" s="38" t="n">
        <x:v>18</x:v>
      </x:c>
      <x:c r="C92" s="38" t="str">
        <x:v>2:15 PM-2:30 PM</x:v>
      </x:c>
      <x:c r="D92" s="38" t="n">
        <x:v>1</x:v>
      </x:c>
      <x:c r="E92" s="38" t="str">
        <x:v>High Intermediate</x:v>
      </x:c>
      <x:c r="F92" s="38" t="str">
        <x:v>O6</x:v>
      </x:c>
      <x:c r="G92" s="24" t="str">
        <x:f>IFERROR(VLOOKUP(E92&amp;"|"&amp;F92,'Pair Setup'!$A$7:$F$42,5,FALSE),"")</x:f>
      </x:c>
      <x:c r="H92" s="24" t="str">
        <x:f>IFERROR(VLOOKUP(E92&amp;"|"&amp;F92,'Pair Setup'!$A$7:$F$42,6,FALSE),"")</x:f>
      </x:c>
      <x:c r="I92" s="53" t="str"/>
      <x:c r="J92" s="53" t="str"/>
      <x:c r="K92" s="38" t="str">
        <x:v>R5</x:v>
      </x:c>
      <x:c r="L92" s="24" t="str">
        <x:f>IFERROR(VLOOKUP(E92&amp;"|"&amp;K92,'Pair Setup'!$A$7:$F$42,5,FALSE),"")</x:f>
      </x:c>
      <x:c r="M92" s="24" t="str">
        <x:f>IFERROR(VLOOKUP(E92&amp;"|"&amp;K92,'Pair Setup'!$A$7:$F$42,6,FALSE),"")</x:f>
      </x:c>
      <x:c r="N92" s="38" t="str">
        <x:f>IF(OR(I92="",J92=""),"",IF(I92&gt;J92,F92,IF(J92&gt;I92,K92,"TIE")))</x:f>
      </x:c>
      <x:c r="O92" s="56" t="str">
        <x:f>IF(OR(I92="",J92=""),"",I92-J92)</x:f>
      </x:c>
    </x:row>
    <x:row r="93">
      <x:c r="A93" s="37" t="str">
        <x:v>RR-087</x:v>
      </x:c>
      <x:c r="B93" s="38" t="n">
        <x:v>18</x:v>
      </x:c>
      <x:c r="C93" s="38" t="str">
        <x:v>2:15 PM-2:30 PM</x:v>
      </x:c>
      <x:c r="D93" s="38" t="n">
        <x:v>2</x:v>
      </x:c>
      <x:c r="E93" s="38" t="str">
        <x:v>Low Intermediate</x:v>
      </x:c>
      <x:c r="F93" s="38" t="str">
        <x:v>O5</x:v>
      </x:c>
      <x:c r="G93" s="24" t="str">
        <x:f>IFERROR(VLOOKUP(E93&amp;"|"&amp;F93,'Pair Setup'!$A$7:$F$42,5,FALSE),"")</x:f>
      </x:c>
      <x:c r="H93" s="24" t="str">
        <x:f>IFERROR(VLOOKUP(E93&amp;"|"&amp;F93,'Pair Setup'!$A$7:$F$42,6,FALSE),"")</x:f>
      </x:c>
      <x:c r="I93" s="53" t="str"/>
      <x:c r="J93" s="53" t="str"/>
      <x:c r="K93" s="38" t="str">
        <x:v>R3</x:v>
      </x:c>
      <x:c r="L93" s="24" t="str">
        <x:f>IFERROR(VLOOKUP(E93&amp;"|"&amp;K93,'Pair Setup'!$A$7:$F$42,5,FALSE),"")</x:f>
      </x:c>
      <x:c r="M93" s="24" t="str">
        <x:f>IFERROR(VLOOKUP(E93&amp;"|"&amp;K93,'Pair Setup'!$A$7:$F$42,6,FALSE),"")</x:f>
      </x:c>
      <x:c r="N93" s="38" t="str">
        <x:f>IF(OR(I93="",J93=""),"",IF(I93&gt;J93,F93,IF(J93&gt;I93,K93,"TIE")))</x:f>
      </x:c>
      <x:c r="O93" s="56" t="str">
        <x:f>IF(OR(I93="",J93=""),"",I93-J93)</x:f>
      </x:c>
    </x:row>
    <x:row r="94">
      <x:c r="A94" s="37" t="str">
        <x:v>RR-088</x:v>
      </x:c>
      <x:c r="B94" s="38" t="n">
        <x:v>18</x:v>
      </x:c>
      <x:c r="C94" s="38" t="str">
        <x:v>2:15 PM-2:30 PM</x:v>
      </x:c>
      <x:c r="D94" s="38" t="n">
        <x:v>3</x:v>
      </x:c>
      <x:c r="E94" s="38" t="str">
        <x:v>Novice</x:v>
      </x:c>
      <x:c r="F94" s="38" t="str">
        <x:v>O4</x:v>
      </x:c>
      <x:c r="G94" s="24" t="str">
        <x:f>IFERROR(VLOOKUP(E94&amp;"|"&amp;F94,'Pair Setup'!$A$7:$F$42,5,FALSE),"")</x:f>
      </x:c>
      <x:c r="H94" s="24" t="str">
        <x:f>IFERROR(VLOOKUP(E94&amp;"|"&amp;F94,'Pair Setup'!$A$7:$F$42,6,FALSE),"")</x:f>
      </x:c>
      <x:c r="I94" s="53" t="str"/>
      <x:c r="J94" s="53" t="str"/>
      <x:c r="K94" s="38" t="str">
        <x:v>R6</x:v>
      </x:c>
      <x:c r="L94" s="24" t="str">
        <x:f>IFERROR(VLOOKUP(E94&amp;"|"&amp;K94,'Pair Setup'!$A$7:$F$42,5,FALSE),"")</x:f>
      </x:c>
      <x:c r="M94" s="24" t="str">
        <x:f>IFERROR(VLOOKUP(E94&amp;"|"&amp;K94,'Pair Setup'!$A$7:$F$42,6,FALSE),"")</x:f>
      </x:c>
      <x:c r="N94" s="38" t="str">
        <x:f>IF(OR(I94="",J94=""),"",IF(I94&gt;J94,F94,IF(J94&gt;I94,K94,"TIE")))</x:f>
      </x:c>
      <x:c r="O94" s="56" t="str">
        <x:f>IF(OR(I94="",J94=""),"",I94-J94)</x:f>
      </x:c>
    </x:row>
    <x:row r="95">
      <x:c r="A95" s="37" t="str">
        <x:v>RR-089</x:v>
      </x:c>
      <x:c r="B95" s="38" t="n">
        <x:v>18</x:v>
      </x:c>
      <x:c r="C95" s="38" t="str">
        <x:v>2:15 PM-2:30 PM</x:v>
      </x:c>
      <x:c r="D95" s="38" t="n">
        <x:v>4</x:v>
      </x:c>
      <x:c r="E95" s="38" t="str">
        <x:v>Low Intermediate</x:v>
      </x:c>
      <x:c r="F95" s="38" t="str">
        <x:v>O3</x:v>
      </x:c>
      <x:c r="G95" s="24" t="str">
        <x:f>IFERROR(VLOOKUP(E95&amp;"|"&amp;F95,'Pair Setup'!$A$7:$F$42,5,FALSE),"")</x:f>
      </x:c>
      <x:c r="H95" s="24" t="str">
        <x:f>IFERROR(VLOOKUP(E95&amp;"|"&amp;F95,'Pair Setup'!$A$7:$F$42,6,FALSE),"")</x:f>
      </x:c>
      <x:c r="I95" s="53" t="str"/>
      <x:c r="J95" s="53" t="str"/>
      <x:c r="K95" s="38" t="str">
        <x:v>R1</x:v>
      </x:c>
      <x:c r="L95" s="24" t="str">
        <x:f>IFERROR(VLOOKUP(E95&amp;"|"&amp;K95,'Pair Setup'!$A$7:$F$42,5,FALSE),"")</x:f>
      </x:c>
      <x:c r="M95" s="24" t="str">
        <x:f>IFERROR(VLOOKUP(E95&amp;"|"&amp;K95,'Pair Setup'!$A$7:$F$42,6,FALSE),"")</x:f>
      </x:c>
      <x:c r="N95" s="38" t="str">
        <x:f>IF(OR(I95="",J95=""),"",IF(I95&gt;J95,F95,IF(J95&gt;I95,K95,"TIE")))</x:f>
      </x:c>
      <x:c r="O95" s="56" t="str">
        <x:f>IF(OR(I95="",J95=""),"",I95-J95)</x:f>
      </x:c>
    </x:row>
    <x:row r="96">
      <x:c r="A96" s="37" t="str">
        <x:v>RR-090</x:v>
      </x:c>
      <x:c r="B96" s="38" t="n">
        <x:v>18</x:v>
      </x:c>
      <x:c r="C96" s="38" t="str">
        <x:v>2:15 PM-2:30 PM</x:v>
      </x:c>
      <x:c r="D96" s="38" t="n">
        <x:v>5</x:v>
      </x:c>
      <x:c r="E96" s="38" t="str">
        <x:v>High Intermediate</x:v>
      </x:c>
      <x:c r="F96" s="38" t="str">
        <x:v>O5</x:v>
      </x:c>
      <x:c r="G96" s="24" t="str">
        <x:f>IFERROR(VLOOKUP(E96&amp;"|"&amp;F96,'Pair Setup'!$A$7:$F$42,5,FALSE),"")</x:f>
      </x:c>
      <x:c r="H96" s="24" t="str">
        <x:f>IFERROR(VLOOKUP(E96&amp;"|"&amp;F96,'Pair Setup'!$A$7:$F$42,6,FALSE),"")</x:f>
      </x:c>
      <x:c r="I96" s="53" t="str"/>
      <x:c r="J96" s="53" t="str"/>
      <x:c r="K96" s="38" t="str">
        <x:v>R1</x:v>
      </x:c>
      <x:c r="L96" s="24" t="str">
        <x:f>IFERROR(VLOOKUP(E96&amp;"|"&amp;K96,'Pair Setup'!$A$7:$F$42,5,FALSE),"")</x:f>
      </x:c>
      <x:c r="M96" s="24" t="str">
        <x:f>IFERROR(VLOOKUP(E96&amp;"|"&amp;K96,'Pair Setup'!$A$7:$F$42,6,FALSE),"")</x:f>
      </x:c>
      <x:c r="N96" s="38" t="str">
        <x:f>IF(OR(I96="",J96=""),"",IF(I96&gt;J96,F96,IF(J96&gt;I96,K96,"TIE")))</x:f>
      </x:c>
      <x:c r="O96" s="56" t="str">
        <x:f>IF(OR(I96="",J96=""),"",I96-J96)</x:f>
      </x:c>
    </x:row>
    <x:row r="97">
      <x:c r="A97" s="37" t="str">
        <x:v>RR-091</x:v>
      </x:c>
      <x:c r="B97" s="38" t="n">
        <x:v>19</x:v>
      </x:c>
      <x:c r="C97" s="38" t="str">
        <x:v>2:30 PM-2:45 PM</x:v>
      </x:c>
      <x:c r="D97" s="38" t="n">
        <x:v>1</x:v>
      </x:c>
      <x:c r="E97" s="38" t="str">
        <x:v>Novice</x:v>
      </x:c>
      <x:c r="F97" s="38" t="str">
        <x:v>O6</x:v>
      </x:c>
      <x:c r="G97" s="24" t="str">
        <x:f>IFERROR(VLOOKUP(E97&amp;"|"&amp;F97,'Pair Setup'!$A$7:$F$42,5,FALSE),"")</x:f>
      </x:c>
      <x:c r="H97" s="24" t="str">
        <x:f>IFERROR(VLOOKUP(E97&amp;"|"&amp;F97,'Pair Setup'!$A$7:$F$42,6,FALSE),"")</x:f>
      </x:c>
      <x:c r="I97" s="53" t="str"/>
      <x:c r="J97" s="53" t="str"/>
      <x:c r="K97" s="38" t="str">
        <x:v>R3</x:v>
      </x:c>
      <x:c r="L97" s="24" t="str">
        <x:f>IFERROR(VLOOKUP(E97&amp;"|"&amp;K97,'Pair Setup'!$A$7:$F$42,5,FALSE),"")</x:f>
      </x:c>
      <x:c r="M97" s="24" t="str">
        <x:f>IFERROR(VLOOKUP(E97&amp;"|"&amp;K97,'Pair Setup'!$A$7:$F$42,6,FALSE),"")</x:f>
      </x:c>
      <x:c r="N97" s="38" t="str">
        <x:f>IF(OR(I97="",J97=""),"",IF(I97&gt;J97,F97,IF(J97&gt;I97,K97,"TIE")))</x:f>
      </x:c>
      <x:c r="O97" s="56" t="str">
        <x:f>IF(OR(I97="",J97=""),"",I97-J97)</x:f>
      </x:c>
    </x:row>
    <x:row r="98">
      <x:c r="A98" s="37" t="str">
        <x:v>RR-092</x:v>
      </x:c>
      <x:c r="B98" s="38" t="n">
        <x:v>19</x:v>
      </x:c>
      <x:c r="C98" s="38" t="str">
        <x:v>2:30 PM-2:45 PM</x:v>
      </x:c>
      <x:c r="D98" s="38" t="n">
        <x:v>2</x:v>
      </x:c>
      <x:c r="E98" s="38" t="str">
        <x:v>Low Intermediate</x:v>
      </x:c>
      <x:c r="F98" s="38" t="str">
        <x:v>O1</x:v>
      </x:c>
      <x:c r="G98" s="24" t="str">
        <x:f>IFERROR(VLOOKUP(E98&amp;"|"&amp;F98,'Pair Setup'!$A$7:$F$42,5,FALSE),"")</x:f>
      </x:c>
      <x:c r="H98" s="24" t="str">
        <x:f>IFERROR(VLOOKUP(E98&amp;"|"&amp;F98,'Pair Setup'!$A$7:$F$42,6,FALSE),"")</x:f>
      </x:c>
      <x:c r="I98" s="53" t="str"/>
      <x:c r="J98" s="53" t="str"/>
      <x:c r="K98" s="38" t="str">
        <x:v>R5</x:v>
      </x:c>
      <x:c r="L98" s="24" t="str">
        <x:f>IFERROR(VLOOKUP(E98&amp;"|"&amp;K98,'Pair Setup'!$A$7:$F$42,5,FALSE),"")</x:f>
      </x:c>
      <x:c r="M98" s="24" t="str">
        <x:f>IFERROR(VLOOKUP(E98&amp;"|"&amp;K98,'Pair Setup'!$A$7:$F$42,6,FALSE),"")</x:f>
      </x:c>
      <x:c r="N98" s="38" t="str">
        <x:f>IF(OR(I98="",J98=""),"",IF(I98&gt;J98,F98,IF(J98&gt;I98,K98,"TIE")))</x:f>
      </x:c>
      <x:c r="O98" s="56" t="str">
        <x:f>IF(OR(I98="",J98=""),"",I98-J98)</x:f>
      </x:c>
    </x:row>
    <x:row r="99">
      <x:c r="A99" s="37" t="str">
        <x:v>RR-093</x:v>
      </x:c>
      <x:c r="B99" s="38" t="n">
        <x:v>19</x:v>
      </x:c>
      <x:c r="C99" s="38" t="str">
        <x:v>2:30 PM-2:45 PM</x:v>
      </x:c>
      <x:c r="D99" s="38" t="n">
        <x:v>3</x:v>
      </x:c>
      <x:c r="E99" s="38" t="str">
        <x:v>High Intermediate</x:v>
      </x:c>
      <x:c r="F99" s="38" t="str">
        <x:v>O4</x:v>
      </x:c>
      <x:c r="G99" s="24" t="str">
        <x:f>IFERROR(VLOOKUP(E99&amp;"|"&amp;F99,'Pair Setup'!$A$7:$F$42,5,FALSE),"")</x:f>
      </x:c>
      <x:c r="H99" s="24" t="str">
        <x:f>IFERROR(VLOOKUP(E99&amp;"|"&amp;F99,'Pair Setup'!$A$7:$F$42,6,FALSE),"")</x:f>
      </x:c>
      <x:c r="I99" s="53" t="str"/>
      <x:c r="J99" s="53" t="str"/>
      <x:c r="K99" s="38" t="str">
        <x:v>R3</x:v>
      </x:c>
      <x:c r="L99" s="24" t="str">
        <x:f>IFERROR(VLOOKUP(E99&amp;"|"&amp;K99,'Pair Setup'!$A$7:$F$42,5,FALSE),"")</x:f>
      </x:c>
      <x:c r="M99" s="24" t="str">
        <x:f>IFERROR(VLOOKUP(E99&amp;"|"&amp;K99,'Pair Setup'!$A$7:$F$42,6,FALSE),"")</x:f>
      </x:c>
      <x:c r="N99" s="38" t="str">
        <x:f>IF(OR(I99="",J99=""),"",IF(I99&gt;J99,F99,IF(J99&gt;I99,K99,"TIE")))</x:f>
      </x:c>
      <x:c r="O99" s="56" t="str">
        <x:f>IF(OR(I99="",J99=""),"",I99-J99)</x:f>
      </x:c>
    </x:row>
    <x:row r="100">
      <x:c r="A100" s="37" t="str">
        <x:v>RR-094</x:v>
      </x:c>
      <x:c r="B100" s="38" t="n">
        <x:v>19</x:v>
      </x:c>
      <x:c r="C100" s="38" t="str">
        <x:v>2:30 PM-2:45 PM</x:v>
      </x:c>
      <x:c r="D100" s="38" t="n">
        <x:v>4</x:v>
      </x:c>
      <x:c r="E100" s="38" t="str">
        <x:v>Low Intermediate</x:v>
      </x:c>
      <x:c r="F100" s="38" t="str">
        <x:v>O2</x:v>
      </x:c>
      <x:c r="G100" s="24" t="str">
        <x:f>IFERROR(VLOOKUP(E100&amp;"|"&amp;F100,'Pair Setup'!$A$7:$F$42,5,FALSE),"")</x:f>
      </x:c>
      <x:c r="H100" s="24" t="str">
        <x:f>IFERROR(VLOOKUP(E100&amp;"|"&amp;F100,'Pair Setup'!$A$7:$F$42,6,FALSE),"")</x:f>
      </x:c>
      <x:c r="I100" s="53" t="str"/>
      <x:c r="J100" s="53" t="str"/>
      <x:c r="K100" s="38" t="str">
        <x:v>R2</x:v>
      </x:c>
      <x:c r="L100" s="24" t="str">
        <x:f>IFERROR(VLOOKUP(E100&amp;"|"&amp;K100,'Pair Setup'!$A$7:$F$42,5,FALSE),"")</x:f>
      </x:c>
      <x:c r="M100" s="24" t="str">
        <x:f>IFERROR(VLOOKUP(E100&amp;"|"&amp;K100,'Pair Setup'!$A$7:$F$42,6,FALSE),"")</x:f>
      </x:c>
      <x:c r="N100" s="38" t="str">
        <x:f>IF(OR(I100="",J100=""),"",IF(I100&gt;J100,F100,IF(J100&gt;I100,K100,"TIE")))</x:f>
      </x:c>
      <x:c r="O100" s="56" t="str">
        <x:f>IF(OR(I100="",J100=""),"",I100-J100)</x:f>
      </x:c>
    </x:row>
    <x:row r="101">
      <x:c r="A101" s="37" t="str">
        <x:v>RR-095</x:v>
      </x:c>
      <x:c r="B101" s="38" t="n">
        <x:v>19</x:v>
      </x:c>
      <x:c r="C101" s="38" t="str">
        <x:v>2:30 PM-2:45 PM</x:v>
      </x:c>
      <x:c r="D101" s="38" t="n">
        <x:v>5</x:v>
      </x:c>
      <x:c r="E101" s="38" t="str">
        <x:v>Novice</x:v>
      </x:c>
      <x:c r="F101" s="38" t="str">
        <x:v>O1</x:v>
      </x:c>
      <x:c r="G101" s="24" t="str">
        <x:f>IFERROR(VLOOKUP(E101&amp;"|"&amp;F101,'Pair Setup'!$A$7:$F$42,5,FALSE),"")</x:f>
      </x:c>
      <x:c r="H101" s="24" t="str">
        <x:f>IFERROR(VLOOKUP(E101&amp;"|"&amp;F101,'Pair Setup'!$A$7:$F$42,6,FALSE),"")</x:f>
      </x:c>
      <x:c r="I101" s="53" t="str"/>
      <x:c r="J101" s="53" t="str"/>
      <x:c r="K101" s="38" t="str">
        <x:v>R4</x:v>
      </x:c>
      <x:c r="L101" s="24" t="str">
        <x:f>IFERROR(VLOOKUP(E101&amp;"|"&amp;K101,'Pair Setup'!$A$7:$F$42,5,FALSE),"")</x:f>
      </x:c>
      <x:c r="M101" s="24" t="str">
        <x:f>IFERROR(VLOOKUP(E101&amp;"|"&amp;K101,'Pair Setup'!$A$7:$F$42,6,FALSE),"")</x:f>
      </x:c>
      <x:c r="N101" s="38" t="str">
        <x:f>IF(OR(I101="",J101=""),"",IF(I101&gt;J101,F101,IF(J101&gt;I101,K101,"TIE")))</x:f>
      </x:c>
      <x:c r="O101" s="56" t="str">
        <x:f>IF(OR(I101="",J101=""),"",I101-J101)</x:f>
      </x:c>
    </x:row>
    <x:row r="102">
      <x:c r="A102" s="37" t="str">
        <x:v>RR-096</x:v>
      </x:c>
      <x:c r="B102" s="38" t="n">
        <x:v>20</x:v>
      </x:c>
      <x:c r="C102" s="38" t="str">
        <x:v>2:45 PM-3:00 PM</x:v>
      </x:c>
      <x:c r="D102" s="38" t="n">
        <x:v>1</x:v>
      </x:c>
      <x:c r="E102" s="38" t="str">
        <x:v>High Intermediate</x:v>
      </x:c>
      <x:c r="F102" s="38" t="str">
        <x:v>O6</x:v>
      </x:c>
      <x:c r="G102" s="24" t="str">
        <x:f>IFERROR(VLOOKUP(E102&amp;"|"&amp;F102,'Pair Setup'!$A$7:$F$42,5,FALSE),"")</x:f>
      </x:c>
      <x:c r="H102" s="24" t="str">
        <x:f>IFERROR(VLOOKUP(E102&amp;"|"&amp;F102,'Pair Setup'!$A$7:$F$42,6,FALSE),"")</x:f>
      </x:c>
      <x:c r="I102" s="53" t="str"/>
      <x:c r="J102" s="53" t="str"/>
      <x:c r="K102" s="38" t="str">
        <x:v>R2</x:v>
      </x:c>
      <x:c r="L102" s="24" t="str">
        <x:f>IFERROR(VLOOKUP(E102&amp;"|"&amp;K102,'Pair Setup'!$A$7:$F$42,5,FALSE),"")</x:f>
      </x:c>
      <x:c r="M102" s="24" t="str">
        <x:f>IFERROR(VLOOKUP(E102&amp;"|"&amp;K102,'Pair Setup'!$A$7:$F$42,6,FALSE),"")</x:f>
      </x:c>
      <x:c r="N102" s="38" t="str">
        <x:f>IF(OR(I102="",J102=""),"",IF(I102&gt;J102,F102,IF(J102&gt;I102,K102,"TIE")))</x:f>
      </x:c>
      <x:c r="O102" s="56" t="str">
        <x:f>IF(OR(I102="",J102=""),"",I102-J102)</x:f>
      </x:c>
    </x:row>
    <x:row r="103">
      <x:c r="A103" s="37" t="str">
        <x:v>RR-097</x:v>
      </x:c>
      <x:c r="B103" s="38" t="n">
        <x:v>20</x:v>
      </x:c>
      <x:c r="C103" s="38" t="str">
        <x:v>2:45 PM-3:00 PM</x:v>
      </x:c>
      <x:c r="D103" s="38" t="n">
        <x:v>2</x:v>
      </x:c>
      <x:c r="E103" s="38" t="str">
        <x:v>Low Intermediate</x:v>
      </x:c>
      <x:c r="F103" s="38" t="str">
        <x:v>O4</x:v>
      </x:c>
      <x:c r="G103" s="24" t="str">
        <x:f>IFERROR(VLOOKUP(E103&amp;"|"&amp;F103,'Pair Setup'!$A$7:$F$42,5,FALSE),"")</x:f>
      </x:c>
      <x:c r="H103" s="24" t="str">
        <x:f>IFERROR(VLOOKUP(E103&amp;"|"&amp;F103,'Pair Setup'!$A$7:$F$42,6,FALSE),"")</x:f>
      </x:c>
      <x:c r="I103" s="53" t="str"/>
      <x:c r="J103" s="53" t="str"/>
      <x:c r="K103" s="38" t="str">
        <x:v>R3</x:v>
      </x:c>
      <x:c r="L103" s="24" t="str">
        <x:f>IFERROR(VLOOKUP(E103&amp;"|"&amp;K103,'Pair Setup'!$A$7:$F$42,5,FALSE),"")</x:f>
      </x:c>
      <x:c r="M103" s="24" t="str">
        <x:f>IFERROR(VLOOKUP(E103&amp;"|"&amp;K103,'Pair Setup'!$A$7:$F$42,6,FALSE),"")</x:f>
      </x:c>
      <x:c r="N103" s="38" t="str">
        <x:f>IF(OR(I103="",J103=""),"",IF(I103&gt;J103,F103,IF(J103&gt;I103,K103,"TIE")))</x:f>
      </x:c>
      <x:c r="O103" s="56" t="str">
        <x:f>IF(OR(I103="",J103=""),"",I103-J103)</x:f>
      </x:c>
    </x:row>
    <x:row r="104">
      <x:c r="A104" s="37" t="str">
        <x:v>RR-098</x:v>
      </x:c>
      <x:c r="B104" s="38" t="n">
        <x:v>20</x:v>
      </x:c>
      <x:c r="C104" s="38" t="str">
        <x:v>2:45 PM-3:00 PM</x:v>
      </x:c>
      <x:c r="D104" s="38" t="n">
        <x:v>3</x:v>
      </x:c>
      <x:c r="E104" s="38" t="str">
        <x:v>Novice</x:v>
      </x:c>
      <x:c r="F104" s="38" t="str">
        <x:v>O2</x:v>
      </x:c>
      <x:c r="G104" s="24" t="str">
        <x:f>IFERROR(VLOOKUP(E104&amp;"|"&amp;F104,'Pair Setup'!$A$7:$F$42,5,FALSE),"")</x:f>
      </x:c>
      <x:c r="H104" s="24" t="str">
        <x:f>IFERROR(VLOOKUP(E104&amp;"|"&amp;F104,'Pair Setup'!$A$7:$F$42,6,FALSE),"")</x:f>
      </x:c>
      <x:c r="I104" s="53" t="str"/>
      <x:c r="J104" s="53" t="str"/>
      <x:c r="K104" s="38" t="str">
        <x:v>R5</x:v>
      </x:c>
      <x:c r="L104" s="24" t="str">
        <x:f>IFERROR(VLOOKUP(E104&amp;"|"&amp;K104,'Pair Setup'!$A$7:$F$42,5,FALSE),"")</x:f>
      </x:c>
      <x:c r="M104" s="24" t="str">
        <x:f>IFERROR(VLOOKUP(E104&amp;"|"&amp;K104,'Pair Setup'!$A$7:$F$42,6,FALSE),"")</x:f>
      </x:c>
      <x:c r="N104" s="38" t="str">
        <x:f>IF(OR(I104="",J104=""),"",IF(I104&gt;J104,F104,IF(J104&gt;I104,K104,"TIE")))</x:f>
      </x:c>
      <x:c r="O104" s="56" t="str">
        <x:f>IF(OR(I104="",J104=""),"",I104-J104)</x:f>
      </x:c>
    </x:row>
    <x:row r="105">
      <x:c r="A105" s="37" t="str">
        <x:v>RR-099</x:v>
      </x:c>
      <x:c r="B105" s="38" t="n">
        <x:v>20</x:v>
      </x:c>
      <x:c r="C105" s="38" t="str">
        <x:v>2:45 PM-3:00 PM</x:v>
      </x:c>
      <x:c r="D105" s="38" t="n">
        <x:v>4</x:v>
      </x:c>
      <x:c r="E105" s="38" t="str">
        <x:v>High Intermediate</x:v>
      </x:c>
      <x:c r="F105" s="38" t="str">
        <x:v>O2</x:v>
      </x:c>
      <x:c r="G105" s="24" t="str">
        <x:f>IFERROR(VLOOKUP(E105&amp;"|"&amp;F105,'Pair Setup'!$A$7:$F$42,5,FALSE),"")</x:f>
      </x:c>
      <x:c r="H105" s="24" t="str">
        <x:f>IFERROR(VLOOKUP(E105&amp;"|"&amp;F105,'Pair Setup'!$A$7:$F$42,6,FALSE),"")</x:f>
      </x:c>
      <x:c r="I105" s="53" t="str"/>
      <x:c r="J105" s="53" t="str"/>
      <x:c r="K105" s="38" t="str">
        <x:v>R5</x:v>
      </x:c>
      <x:c r="L105" s="24" t="str">
        <x:f>IFERROR(VLOOKUP(E105&amp;"|"&amp;K105,'Pair Setup'!$A$7:$F$42,5,FALSE),"")</x:f>
      </x:c>
      <x:c r="M105" s="24" t="str">
        <x:f>IFERROR(VLOOKUP(E105&amp;"|"&amp;K105,'Pair Setup'!$A$7:$F$42,6,FALSE),"")</x:f>
      </x:c>
      <x:c r="N105" s="38" t="str">
        <x:f>IF(OR(I105="",J105=""),"",IF(I105&gt;J105,F105,IF(J105&gt;I105,K105,"TIE")))</x:f>
      </x:c>
      <x:c r="O105" s="56" t="str">
        <x:f>IF(OR(I105="",J105=""),"",I105-J105)</x:f>
      </x:c>
    </x:row>
    <x:row r="106">
      <x:c r="A106" s="37" t="str">
        <x:v>RR-100</x:v>
      </x:c>
      <x:c r="B106" s="38" t="n">
        <x:v>20</x:v>
      </x:c>
      <x:c r="C106" s="38" t="str">
        <x:v>2:45 PM-3:00 PM</x:v>
      </x:c>
      <x:c r="D106" s="38" t="n">
        <x:v>5</x:v>
      </x:c>
      <x:c r="E106" s="38" t="str">
        <x:v>Novice</x:v>
      </x:c>
      <x:c r="F106" s="38" t="str">
        <x:v>O5</x:v>
      </x:c>
      <x:c r="G106" s="24" t="str">
        <x:f>IFERROR(VLOOKUP(E106&amp;"|"&amp;F106,'Pair Setup'!$A$7:$F$42,5,FALSE),"")</x:f>
      </x:c>
      <x:c r="H106" s="24" t="str">
        <x:f>IFERROR(VLOOKUP(E106&amp;"|"&amp;F106,'Pair Setup'!$A$7:$F$42,6,FALSE),"")</x:f>
      </x:c>
      <x:c r="I106" s="53" t="str"/>
      <x:c r="J106" s="53" t="str"/>
      <x:c r="K106" s="38" t="str">
        <x:v>R2</x:v>
      </x:c>
      <x:c r="L106" s="24" t="str">
        <x:f>IFERROR(VLOOKUP(E106&amp;"|"&amp;K106,'Pair Setup'!$A$7:$F$42,5,FALSE),"")</x:f>
      </x:c>
      <x:c r="M106" s="24" t="str">
        <x:f>IFERROR(VLOOKUP(E106&amp;"|"&amp;K106,'Pair Setup'!$A$7:$F$42,6,FALSE),"")</x:f>
      </x:c>
      <x:c r="N106" s="38" t="str">
        <x:f>IF(OR(I106="",J106=""),"",IF(I106&gt;J106,F106,IF(J106&gt;I106,K106,"TIE")))</x:f>
      </x:c>
      <x:c r="O106" s="56" t="str">
        <x:f>IF(OR(I106="",J106=""),"",I106-J106)</x:f>
      </x:c>
    </x:row>
    <x:row r="107">
      <x:c r="A107" s="37" t="str">
        <x:v>RR-101</x:v>
      </x:c>
      <x:c r="B107" s="38" t="n">
        <x:v>21</x:v>
      </x:c>
      <x:c r="C107" s="38" t="str">
        <x:v>3:00 PM-3:15 PM</x:v>
      </x:c>
      <x:c r="D107" s="38" t="n">
        <x:v>1</x:v>
      </x:c>
      <x:c r="E107" s="38" t="str">
        <x:v>Low Intermediate</x:v>
      </x:c>
      <x:c r="F107" s="38" t="str">
        <x:v>O3</x:v>
      </x:c>
      <x:c r="G107" s="24" t="str">
        <x:f>IFERROR(VLOOKUP(E107&amp;"|"&amp;F107,'Pair Setup'!$A$7:$F$42,5,FALSE),"")</x:f>
      </x:c>
      <x:c r="H107" s="24" t="str">
        <x:f>IFERROR(VLOOKUP(E107&amp;"|"&amp;F107,'Pair Setup'!$A$7:$F$42,6,FALSE),"")</x:f>
      </x:c>
      <x:c r="I107" s="53" t="str"/>
      <x:c r="J107" s="53" t="str"/>
      <x:c r="K107" s="38" t="str">
        <x:v>R2</x:v>
      </x:c>
      <x:c r="L107" s="24" t="str">
        <x:f>IFERROR(VLOOKUP(E107&amp;"|"&amp;K107,'Pair Setup'!$A$7:$F$42,5,FALSE),"")</x:f>
      </x:c>
      <x:c r="M107" s="24" t="str">
        <x:f>IFERROR(VLOOKUP(E107&amp;"|"&amp;K107,'Pair Setup'!$A$7:$F$42,6,FALSE),"")</x:f>
      </x:c>
      <x:c r="N107" s="38" t="str">
        <x:f>IF(OR(I107="",J107=""),"",IF(I107&gt;J107,F107,IF(J107&gt;I107,K107,"TIE")))</x:f>
      </x:c>
      <x:c r="O107" s="56" t="str">
        <x:f>IF(OR(I107="",J107=""),"",I107-J107)</x:f>
      </x:c>
    </x:row>
    <x:row r="108">
      <x:c r="A108" s="37" t="str">
        <x:v>RR-102</x:v>
      </x:c>
      <x:c r="B108" s="38" t="n">
        <x:v>21</x:v>
      </x:c>
      <x:c r="C108" s="38" t="str">
        <x:v>3:00 PM-3:15 PM</x:v>
      </x:c>
      <x:c r="D108" s="38" t="n">
        <x:v>2</x:v>
      </x:c>
      <x:c r="E108" s="38" t="str">
        <x:v>High Intermediate</x:v>
      </x:c>
      <x:c r="F108" s="38" t="str">
        <x:v>O3</x:v>
      </x:c>
      <x:c r="G108" s="24" t="str">
        <x:f>IFERROR(VLOOKUP(E108&amp;"|"&amp;F108,'Pair Setup'!$A$7:$F$42,5,FALSE),"")</x:f>
      </x:c>
      <x:c r="H108" s="24" t="str">
        <x:f>IFERROR(VLOOKUP(E108&amp;"|"&amp;F108,'Pair Setup'!$A$7:$F$42,6,FALSE),"")</x:f>
      </x:c>
      <x:c r="I108" s="53" t="str"/>
      <x:c r="J108" s="53" t="str"/>
      <x:c r="K108" s="38" t="str">
        <x:v>R1</x:v>
      </x:c>
      <x:c r="L108" s="24" t="str">
        <x:f>IFERROR(VLOOKUP(E108&amp;"|"&amp;K108,'Pair Setup'!$A$7:$F$42,5,FALSE),"")</x:f>
      </x:c>
      <x:c r="M108" s="24" t="str">
        <x:f>IFERROR(VLOOKUP(E108&amp;"|"&amp;K108,'Pair Setup'!$A$7:$F$42,6,FALSE),"")</x:f>
      </x:c>
      <x:c r="N108" s="38" t="str">
        <x:f>IF(OR(I108="",J108=""),"",IF(I108&gt;J108,F108,IF(J108&gt;I108,K108,"TIE")))</x:f>
      </x:c>
      <x:c r="O108" s="56" t="str">
        <x:f>IF(OR(I108="",J108=""),"",I108-J108)</x:f>
      </x:c>
    </x:row>
    <x:row r="109">
      <x:c r="A109" s="37" t="str">
        <x:v>RR-103</x:v>
      </x:c>
      <x:c r="B109" s="38" t="n">
        <x:v>21</x:v>
      </x:c>
      <x:c r="C109" s="38" t="str">
        <x:v>3:00 PM-3:15 PM</x:v>
      </x:c>
      <x:c r="D109" s="38" t="n">
        <x:v>3</x:v>
      </x:c>
      <x:c r="E109" s="38" t="str">
        <x:v>High Intermediate</x:v>
      </x:c>
      <x:c r="F109" s="38" t="str">
        <x:v>O4</x:v>
      </x:c>
      <x:c r="G109" s="24" t="str">
        <x:f>IFERROR(VLOOKUP(E109&amp;"|"&amp;F109,'Pair Setup'!$A$7:$F$42,5,FALSE),"")</x:f>
      </x:c>
      <x:c r="H109" s="24" t="str">
        <x:f>IFERROR(VLOOKUP(E109&amp;"|"&amp;F109,'Pair Setup'!$A$7:$F$42,6,FALSE),"")</x:f>
      </x:c>
      <x:c r="I109" s="53" t="str"/>
      <x:c r="J109" s="53" t="str"/>
      <x:c r="K109" s="38" t="str">
        <x:v>R4</x:v>
      </x:c>
      <x:c r="L109" s="24" t="str">
        <x:f>IFERROR(VLOOKUP(E109&amp;"|"&amp;K109,'Pair Setup'!$A$7:$F$42,5,FALSE),"")</x:f>
      </x:c>
      <x:c r="M109" s="24" t="str">
        <x:f>IFERROR(VLOOKUP(E109&amp;"|"&amp;K109,'Pair Setup'!$A$7:$F$42,6,FALSE),"")</x:f>
      </x:c>
      <x:c r="N109" s="38" t="str">
        <x:f>IF(OR(I109="",J109=""),"",IF(I109&gt;J109,F109,IF(J109&gt;I109,K109,"TIE")))</x:f>
      </x:c>
      <x:c r="O109" s="56" t="str">
        <x:f>IF(OR(I109="",J109=""),"",I109-J109)</x:f>
      </x:c>
    </x:row>
    <x:row r="110">
      <x:c r="A110" s="37" t="str">
        <x:v>RR-104</x:v>
      </x:c>
      <x:c r="B110" s="38" t="n">
        <x:v>21</x:v>
      </x:c>
      <x:c r="C110" s="38" t="str">
        <x:v>3:00 PM-3:15 PM</x:v>
      </x:c>
      <x:c r="D110" s="38" t="n">
        <x:v>4</x:v>
      </x:c>
      <x:c r="E110" s="38" t="str">
        <x:v>Low Intermediate</x:v>
      </x:c>
      <x:c r="F110" s="38" t="str">
        <x:v>O1</x:v>
      </x:c>
      <x:c r="G110" s="24" t="str">
        <x:f>IFERROR(VLOOKUP(E110&amp;"|"&amp;F110,'Pair Setup'!$A$7:$F$42,5,FALSE),"")</x:f>
      </x:c>
      <x:c r="H110" s="24" t="str">
        <x:f>IFERROR(VLOOKUP(E110&amp;"|"&amp;F110,'Pair Setup'!$A$7:$F$42,6,FALSE),"")</x:f>
      </x:c>
      <x:c r="I110" s="53" t="str"/>
      <x:c r="J110" s="53" t="str"/>
      <x:c r="K110" s="38" t="str">
        <x:v>R4</x:v>
      </x:c>
      <x:c r="L110" s="24" t="str">
        <x:f>IFERROR(VLOOKUP(E110&amp;"|"&amp;K110,'Pair Setup'!$A$7:$F$42,5,FALSE),"")</x:f>
      </x:c>
      <x:c r="M110" s="24" t="str">
        <x:f>IFERROR(VLOOKUP(E110&amp;"|"&amp;K110,'Pair Setup'!$A$7:$F$42,6,FALSE),"")</x:f>
      </x:c>
      <x:c r="N110" s="38" t="str">
        <x:f>IF(OR(I110="",J110=""),"",IF(I110&gt;J110,F110,IF(J110&gt;I110,K110,"TIE")))</x:f>
      </x:c>
      <x:c r="O110" s="56" t="str">
        <x:f>IF(OR(I110="",J110=""),"",I110-J110)</x:f>
      </x:c>
    </x:row>
    <x:row r="111">
      <x:c r="A111" s="37" t="str">
        <x:v>RR-105</x:v>
      </x:c>
      <x:c r="B111" s="38" t="n">
        <x:v>22</x:v>
      </x:c>
      <x:c r="C111" s="38" t="str">
        <x:v>3:15 PM-3:30 PM</x:v>
      </x:c>
      <x:c r="D111" s="38" t="n">
        <x:v>1</x:v>
      </x:c>
      <x:c r="E111" s="38" t="str">
        <x:v>Novice</x:v>
      </x:c>
      <x:c r="F111" s="38" t="str">
        <x:v>O6</x:v>
      </x:c>
      <x:c r="G111" s="24" t="str">
        <x:f>IFERROR(VLOOKUP(E111&amp;"|"&amp;F111,'Pair Setup'!$A$7:$F$42,5,FALSE),"")</x:f>
      </x:c>
      <x:c r="H111" s="24" t="str">
        <x:f>IFERROR(VLOOKUP(E111&amp;"|"&amp;F111,'Pair Setup'!$A$7:$F$42,6,FALSE),"")</x:f>
      </x:c>
      <x:c r="I111" s="53" t="str"/>
      <x:c r="J111" s="53" t="str"/>
      <x:c r="K111" s="38" t="str">
        <x:v>R5</x:v>
      </x:c>
      <x:c r="L111" s="24" t="str">
        <x:f>IFERROR(VLOOKUP(E111&amp;"|"&amp;K111,'Pair Setup'!$A$7:$F$42,5,FALSE),"")</x:f>
      </x:c>
      <x:c r="M111" s="24" t="str">
        <x:f>IFERROR(VLOOKUP(E111&amp;"|"&amp;K111,'Pair Setup'!$A$7:$F$42,6,FALSE),"")</x:f>
      </x:c>
      <x:c r="N111" s="38" t="str">
        <x:f>IF(OR(I111="",J111=""),"",IF(I111&gt;J111,F111,IF(J111&gt;I111,K111,"TIE")))</x:f>
      </x:c>
      <x:c r="O111" s="56" t="str">
        <x:f>IF(OR(I111="",J111=""),"",I111-J111)</x:f>
      </x:c>
    </x:row>
    <x:row r="112">
      <x:c r="A112" s="37" t="str">
        <x:v>RR-106</x:v>
      </x:c>
      <x:c r="B112" s="38" t="n">
        <x:v>22</x:v>
      </x:c>
      <x:c r="C112" s="38" t="str">
        <x:v>3:15 PM-3:30 PM</x:v>
      </x:c>
      <x:c r="D112" s="38" t="n">
        <x:v>2</x:v>
      </x:c>
      <x:c r="E112" s="38" t="str">
        <x:v>High Intermediate</x:v>
      </x:c>
      <x:c r="F112" s="38" t="str">
        <x:v>O6</x:v>
      </x:c>
      <x:c r="G112" s="24" t="str">
        <x:f>IFERROR(VLOOKUP(E112&amp;"|"&amp;F112,'Pair Setup'!$A$7:$F$42,5,FALSE),"")</x:f>
      </x:c>
      <x:c r="H112" s="24" t="str">
        <x:f>IFERROR(VLOOKUP(E112&amp;"|"&amp;F112,'Pair Setup'!$A$7:$F$42,6,FALSE),"")</x:f>
      </x:c>
      <x:c r="I112" s="53" t="str"/>
      <x:c r="J112" s="53" t="str"/>
      <x:c r="K112" s="38" t="str">
        <x:v>R3</x:v>
      </x:c>
      <x:c r="L112" s="24" t="str">
        <x:f>IFERROR(VLOOKUP(E112&amp;"|"&amp;K112,'Pair Setup'!$A$7:$F$42,5,FALSE),"")</x:f>
      </x:c>
      <x:c r="M112" s="24" t="str">
        <x:f>IFERROR(VLOOKUP(E112&amp;"|"&amp;K112,'Pair Setup'!$A$7:$F$42,6,FALSE),"")</x:f>
      </x:c>
      <x:c r="N112" s="38" t="str">
        <x:f>IF(OR(I112="",J112=""),"",IF(I112&gt;J112,F112,IF(J112&gt;I112,K112,"TIE")))</x:f>
      </x:c>
      <x:c r="O112" s="56" t="str">
        <x:f>IF(OR(I112="",J112=""),"",I112-J112)</x:f>
      </x:c>
    </x:row>
    <x:row r="113">
      <x:c r="A113" s="37" t="str">
        <x:v>RR-107</x:v>
      </x:c>
      <x:c r="B113" s="38" t="n">
        <x:v>22</x:v>
      </x:c>
      <x:c r="C113" s="38" t="str">
        <x:v>3:15 PM-3:30 PM</x:v>
      </x:c>
      <x:c r="D113" s="38" t="n">
        <x:v>3</x:v>
      </x:c>
      <x:c r="E113" s="38" t="str">
        <x:v>Low Intermediate</x:v>
      </x:c>
      <x:c r="F113" s="38" t="str">
        <x:v>O2</x:v>
      </x:c>
      <x:c r="G113" s="24" t="str">
        <x:f>IFERROR(VLOOKUP(E113&amp;"|"&amp;F113,'Pair Setup'!$A$7:$F$42,5,FALSE),"")</x:f>
      </x:c>
      <x:c r="H113" s="24" t="str">
        <x:f>IFERROR(VLOOKUP(E113&amp;"|"&amp;F113,'Pair Setup'!$A$7:$F$42,6,FALSE),"")</x:f>
      </x:c>
      <x:c r="I113" s="53" t="str"/>
      <x:c r="J113" s="53" t="str"/>
      <x:c r="K113" s="38" t="str">
        <x:v>R5</x:v>
      </x:c>
      <x:c r="L113" s="24" t="str">
        <x:f>IFERROR(VLOOKUP(E113&amp;"|"&amp;K113,'Pair Setup'!$A$7:$F$42,5,FALSE),"")</x:f>
      </x:c>
      <x:c r="M113" s="24" t="str">
        <x:f>IFERROR(VLOOKUP(E113&amp;"|"&amp;K113,'Pair Setup'!$A$7:$F$42,6,FALSE),"")</x:f>
      </x:c>
      <x:c r="N113" s="38" t="str">
        <x:f>IF(OR(I113="",J113=""),"",IF(I113&gt;J113,F113,IF(J113&gt;I113,K113,"TIE")))</x:f>
      </x:c>
      <x:c r="O113" s="56" t="str">
        <x:f>IF(OR(I113="",J113=""),"",I113-J113)</x:f>
      </x:c>
    </x:row>
    <x:row r="114">
      <x:c r="A114" s="39" t="str">
        <x:v>RR-108</x:v>
      </x:c>
      <x:c r="B114" s="40" t="n">
        <x:v>22</x:v>
      </x:c>
      <x:c r="C114" s="40" t="str">
        <x:v>3:15 PM-3:30 PM</x:v>
      </x:c>
      <x:c r="D114" s="40" t="n">
        <x:v>4</x:v>
      </x:c>
      <x:c r="E114" s="40" t="str">
        <x:v>Novice</x:v>
      </x:c>
      <x:c r="F114" s="40" t="str">
        <x:v>O4</x:v>
      </x:c>
      <x:c r="G114" s="27" t="str">
        <x:f>IFERROR(VLOOKUP(E114&amp;"|"&amp;F114,'Pair Setup'!$A$7:$F$42,5,FALSE),"")</x:f>
      </x:c>
      <x:c r="H114" s="27" t="str">
        <x:f>IFERROR(VLOOKUP(E114&amp;"|"&amp;F114,'Pair Setup'!$A$7:$F$42,6,FALSE),"")</x:f>
      </x:c>
      <x:c r="I114" s="54" t="str"/>
      <x:c r="J114" s="54" t="str"/>
      <x:c r="K114" s="40" t="str">
        <x:v>R2</x:v>
      </x:c>
      <x:c r="L114" s="27" t="str">
        <x:f>IFERROR(VLOOKUP(E114&amp;"|"&amp;K114,'Pair Setup'!$A$7:$F$42,5,FALSE),"")</x:f>
      </x:c>
      <x:c r="M114" s="27" t="str">
        <x:f>IFERROR(VLOOKUP(E114&amp;"|"&amp;K114,'Pair Setup'!$A$7:$F$42,6,FALSE),"")</x:f>
      </x:c>
      <x:c r="N114" s="40" t="str">
        <x:f>IF(OR(I114="",J114=""),"",IF(I114&gt;J114,F114,IF(J114&gt;I114,K114,"TIE")))</x:f>
      </x:c>
      <x:c r="O114" s="57" t="str">
        <x:f>IF(OR(I114="",J114=""),"",I114-J114)</x:f>
      </x:c>
    </x:row>
  </x:sheetData>
  <x:mergeCells>
    <x:mergeCell ref="A2:O2"/>
    <x:mergeCell ref="A3:O3"/>
  </x:mergeCells>
  <x:dataValidations count="1">
    <x:dataValidation type="whole" operator="between" sqref="I7:J114">
      <x:formula1>0</x:formula1>
      <x:formula2>17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6FF3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6" hidden="0" customWidth="1"/>
    <x:col min="3" max="3" width="9" hidden="0" customWidth="1"/>
    <x:col min="4" max="4" width="2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2">
      <x:c r="A2" s="1" t="str">
        <x:v>Live Standings</x:v>
      </x:c>
    </x:row>
    <x:row r="3">
      <x:c r="A3" s="2" t="str">
        <x:v>Ranks are calculated within each division and club using wins, point differential, then points scored.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6" ht="30" customHeight="1">
      <x:c r="A6" s="15" t="str">
        <x:v>Division</x:v>
      </x:c>
      <x:c r="B6" s="16" t="str">
        <x:v>Club</x:v>
      </x:c>
      <x:c r="C6" s="16" t="str">
        <x:v>Pair</x:v>
      </x:c>
      <x:c r="D6" s="16" t="str">
        <x:v>Player Names</x:v>
      </x:c>
      <x:c r="E6" s="16" t="str">
        <x:v>Played</x:v>
      </x:c>
      <x:c r="F6" s="16" t="str">
        <x:v>Wins</x:v>
      </x:c>
      <x:c r="G6" s="16" t="str">
        <x:v>Losses</x:v>
      </x:c>
      <x:c r="H6" s="16" t="str">
        <x:v>Points For</x:v>
      </x:c>
      <x:c r="I6" s="16" t="str">
        <x:v>Points Against</x:v>
      </x:c>
      <x:c r="J6" s="16" t="str">
        <x:v>Point Diff</x:v>
      </x:c>
      <x:c r="K6" s="17" t="str">
        <x:v>Club Rank</x:v>
      </x:c>
    </x:row>
    <x:row r="7">
      <x:c r="A7" s="20" t="str">
        <x:v>Novice</x:v>
      </x:c>
      <x:c r="B7" s="21" t="str">
        <x:v>OCPC</x:v>
      </x:c>
      <x:c r="C7" s="21" t="str">
        <x:v>O1</x:v>
      </x:c>
      <x:c r="D7" s="21" t="str">
        <x:f>IFERROR(VLOOKUP(A7&amp;"|"&amp;C7,'Pair Setup'!$A$7:$F$42,5,FALSE)&amp;IF(VLOOKUP(A7&amp;"|"&amp;C7,'Pair Setup'!$A$7:$F$42,6,FALSE)&lt;&gt;""," / "&amp;VLOOKUP(A7&amp;"|"&amp;C7,'Pair Setup'!$A$7:$F$42,6,FALSE),""),"")</x:f>
      </x:c>
      <x:c r="E7" s="36" t="n">
        <x:f>F7+G7</x:f>
        <x:v>0</x:v>
      </x:c>
      <x:c r="F7" s="36" t="n">
        <x:f>COUNTIFS(Scorekeeper!$E$7:$E$114,A7,Scorekeeper!$N$7:$N$114,C7)</x:f>
        <x:v>0</x:v>
      </x:c>
      <x:c r="G7" s="36" t="n">
        <x:f>COUNTIFS(Scorekeeper!$E$7:$E$114,A7,Scorekeeper!$F$7:$F$114,C7,Scorekeeper!$N$7:$N$114,"R*")</x:f>
        <x:v>0</x:v>
      </x:c>
      <x:c r="H7" s="36" t="n">
        <x:f>SUMIFS(Scorekeeper!$I$7:$I$114,Scorekeeper!$E$7:$E$114,A7,Scorekeeper!$F$7:$F$114,C7)</x:f>
        <x:v>0</x:v>
      </x:c>
      <x:c r="I7" s="36" t="n">
        <x:f>SUMIFS(Scorekeeper!$J$7:$J$114,Scorekeeper!$E$7:$E$114,A7,Scorekeeper!$F$7:$F$114,C7)</x:f>
        <x:v>0</x:v>
      </x:c>
      <x:c r="J7" s="36" t="n">
        <x:f>H7-I7</x:f>
        <x:v>0</x:v>
      </x:c>
      <x:c r="K7" s="55" t="n">
        <x:f>1+COUNTIFS($A$7:$A$42,A7,$B$7:$B$42,B7,$F$7:$F$42,"&gt;"&amp;F7)+COUNTIFS($A$7:$A$42,A7,$B$7:$B$42,B7,$F$7:$F$42,F7,$J$7:$J$42,"&gt;"&amp;J7)+COUNTIFS($A$7:$A$42,A7,$B$7:$B$42,B7,$F$7:$F$42,F7,$J$7:$J$42,J7,$H$7:$H$42,"&gt;"&amp;H7)</x:f>
        <x:v>1</x:v>
      </x:c>
    </x:row>
    <x:row r="8">
      <x:c r="A8" s="23" t="str">
        <x:v>Novice</x:v>
      </x:c>
      <x:c r="B8" s="24" t="str">
        <x:v>OCPC</x:v>
      </x:c>
      <x:c r="C8" s="24" t="str">
        <x:v>O2</x:v>
      </x:c>
      <x:c r="D8" s="24" t="str">
        <x:f>IFERROR(VLOOKUP(A8&amp;"|"&amp;C8,'Pair Setup'!$A$7:$F$42,5,FALSE)&amp;IF(VLOOKUP(A8&amp;"|"&amp;C8,'Pair Setup'!$A$7:$F$42,6,FALSE)&lt;&gt;""," / "&amp;VLOOKUP(A8&amp;"|"&amp;C8,'Pair Setup'!$A$7:$F$42,6,FALSE),""),"")</x:f>
      </x:c>
      <x:c r="E8" s="38" t="n">
        <x:f>F8+G8</x:f>
        <x:v>0</x:v>
      </x:c>
      <x:c r="F8" s="38" t="n">
        <x:f>COUNTIFS(Scorekeeper!$E$7:$E$114,A8,Scorekeeper!$N$7:$N$114,C8)</x:f>
        <x:v>0</x:v>
      </x:c>
      <x:c r="G8" s="38" t="n">
        <x:f>COUNTIFS(Scorekeeper!$E$7:$E$114,A8,Scorekeeper!$F$7:$F$114,C8,Scorekeeper!$N$7:$N$114,"R*")</x:f>
        <x:v>0</x:v>
      </x:c>
      <x:c r="H8" s="38" t="n">
        <x:f>SUMIFS(Scorekeeper!$I$7:$I$114,Scorekeeper!$E$7:$E$114,A8,Scorekeeper!$F$7:$F$114,C8)</x:f>
        <x:v>0</x:v>
      </x:c>
      <x:c r="I8" s="38" t="n">
        <x:f>SUMIFS(Scorekeeper!$J$7:$J$114,Scorekeeper!$E$7:$E$114,A8,Scorekeeper!$F$7:$F$114,C8)</x:f>
        <x:v>0</x:v>
      </x:c>
      <x:c r="J8" s="38" t="n">
        <x:f>H8-I8</x:f>
        <x:v>0</x:v>
      </x:c>
      <x:c r="K8" s="56" t="n">
        <x:f>1+COUNTIFS($A$7:$A$42,A8,$B$7:$B$42,B8,$F$7:$F$42,"&gt;"&amp;F8)+COUNTIFS($A$7:$A$42,A8,$B$7:$B$42,B8,$F$7:$F$42,F8,$J$7:$J$42,"&gt;"&amp;J8)+COUNTIFS($A$7:$A$42,A8,$B$7:$B$42,B8,$F$7:$F$42,F8,$J$7:$J$42,J8,$H$7:$H$42,"&gt;"&amp;H8)</x:f>
        <x:v>1</x:v>
      </x:c>
    </x:row>
    <x:row r="9">
      <x:c r="A9" s="23" t="str">
        <x:v>Novice</x:v>
      </x:c>
      <x:c r="B9" s="24" t="str">
        <x:v>OCPC</x:v>
      </x:c>
      <x:c r="C9" s="24" t="str">
        <x:v>O3</x:v>
      </x:c>
      <x:c r="D9" s="24" t="str">
        <x:f>IFERROR(VLOOKUP(A9&amp;"|"&amp;C9,'Pair Setup'!$A$7:$F$42,5,FALSE)&amp;IF(VLOOKUP(A9&amp;"|"&amp;C9,'Pair Setup'!$A$7:$F$42,6,FALSE)&lt;&gt;""," / "&amp;VLOOKUP(A9&amp;"|"&amp;C9,'Pair Setup'!$A$7:$F$42,6,FALSE),""),"")</x:f>
      </x:c>
      <x:c r="E9" s="38" t="n">
        <x:f>F9+G9</x:f>
        <x:v>0</x:v>
      </x:c>
      <x:c r="F9" s="38" t="n">
        <x:f>COUNTIFS(Scorekeeper!$E$7:$E$114,A9,Scorekeeper!$N$7:$N$114,C9)</x:f>
        <x:v>0</x:v>
      </x:c>
      <x:c r="G9" s="38" t="n">
        <x:f>COUNTIFS(Scorekeeper!$E$7:$E$114,A9,Scorekeeper!$F$7:$F$114,C9,Scorekeeper!$N$7:$N$114,"R*")</x:f>
        <x:v>0</x:v>
      </x:c>
      <x:c r="H9" s="38" t="n">
        <x:f>SUMIFS(Scorekeeper!$I$7:$I$114,Scorekeeper!$E$7:$E$114,A9,Scorekeeper!$F$7:$F$114,C9)</x:f>
        <x:v>0</x:v>
      </x:c>
      <x:c r="I9" s="38" t="n">
        <x:f>SUMIFS(Scorekeeper!$J$7:$J$114,Scorekeeper!$E$7:$E$114,A9,Scorekeeper!$F$7:$F$114,C9)</x:f>
        <x:v>0</x:v>
      </x:c>
      <x:c r="J9" s="38" t="n">
        <x:f>H9-I9</x:f>
        <x:v>0</x:v>
      </x:c>
      <x:c r="K9" s="56" t="n">
        <x:f>1+COUNTIFS($A$7:$A$42,A9,$B$7:$B$42,B9,$F$7:$F$42,"&gt;"&amp;F9)+COUNTIFS($A$7:$A$42,A9,$B$7:$B$42,B9,$F$7:$F$42,F9,$J$7:$J$42,"&gt;"&amp;J9)+COUNTIFS($A$7:$A$42,A9,$B$7:$B$42,B9,$F$7:$F$42,F9,$J$7:$J$42,J9,$H$7:$H$42,"&gt;"&amp;H9)</x:f>
        <x:v>1</x:v>
      </x:c>
    </x:row>
    <x:row r="10">
      <x:c r="A10" s="23" t="str">
        <x:v>Novice</x:v>
      </x:c>
      <x:c r="B10" s="24" t="str">
        <x:v>OCPC</x:v>
      </x:c>
      <x:c r="C10" s="24" t="str">
        <x:v>O4</x:v>
      </x:c>
      <x:c r="D10" s="24" t="str">
        <x:f>IFERROR(VLOOKUP(A10&amp;"|"&amp;C10,'Pair Setup'!$A$7:$F$42,5,FALSE)&amp;IF(VLOOKUP(A10&amp;"|"&amp;C10,'Pair Setup'!$A$7:$F$42,6,FALSE)&lt;&gt;""," / "&amp;VLOOKUP(A10&amp;"|"&amp;C10,'Pair Setup'!$A$7:$F$42,6,FALSE),""),"")</x:f>
      </x:c>
      <x:c r="E10" s="38" t="n">
        <x:f>F10+G10</x:f>
        <x:v>0</x:v>
      </x:c>
      <x:c r="F10" s="38" t="n">
        <x:f>COUNTIFS(Scorekeeper!$E$7:$E$114,A10,Scorekeeper!$N$7:$N$114,C10)</x:f>
        <x:v>0</x:v>
      </x:c>
      <x:c r="G10" s="38" t="n">
        <x:f>COUNTIFS(Scorekeeper!$E$7:$E$114,A10,Scorekeeper!$F$7:$F$114,C10,Scorekeeper!$N$7:$N$114,"R*")</x:f>
        <x:v>0</x:v>
      </x:c>
      <x:c r="H10" s="38" t="n">
        <x:f>SUMIFS(Scorekeeper!$I$7:$I$114,Scorekeeper!$E$7:$E$114,A10,Scorekeeper!$F$7:$F$114,C10)</x:f>
        <x:v>0</x:v>
      </x:c>
      <x:c r="I10" s="38" t="n">
        <x:f>SUMIFS(Scorekeeper!$J$7:$J$114,Scorekeeper!$E$7:$E$114,A10,Scorekeeper!$F$7:$F$114,C10)</x:f>
        <x:v>0</x:v>
      </x:c>
      <x:c r="J10" s="38" t="n">
        <x:f>H10-I10</x:f>
        <x:v>0</x:v>
      </x:c>
      <x:c r="K10" s="56" t="n">
        <x:f>1+COUNTIFS($A$7:$A$42,A10,$B$7:$B$42,B10,$F$7:$F$42,"&gt;"&amp;F10)+COUNTIFS($A$7:$A$42,A10,$B$7:$B$42,B10,$F$7:$F$42,F10,$J$7:$J$42,"&gt;"&amp;J10)+COUNTIFS($A$7:$A$42,A10,$B$7:$B$42,B10,$F$7:$F$42,F10,$J$7:$J$42,J10,$H$7:$H$42,"&gt;"&amp;H10)</x:f>
        <x:v>1</x:v>
      </x:c>
    </x:row>
    <x:row r="11">
      <x:c r="A11" s="23" t="str">
        <x:v>Novice</x:v>
      </x:c>
      <x:c r="B11" s="24" t="str">
        <x:v>OCPC</x:v>
      </x:c>
      <x:c r="C11" s="24" t="str">
        <x:v>O5</x:v>
      </x:c>
      <x:c r="D11" s="24" t="str">
        <x:f>IFERROR(VLOOKUP(A11&amp;"|"&amp;C11,'Pair Setup'!$A$7:$F$42,5,FALSE)&amp;IF(VLOOKUP(A11&amp;"|"&amp;C11,'Pair Setup'!$A$7:$F$42,6,FALSE)&lt;&gt;""," / "&amp;VLOOKUP(A11&amp;"|"&amp;C11,'Pair Setup'!$A$7:$F$42,6,FALSE),""),"")</x:f>
      </x:c>
      <x:c r="E11" s="38" t="n">
        <x:f>F11+G11</x:f>
        <x:v>0</x:v>
      </x:c>
      <x:c r="F11" s="38" t="n">
        <x:f>COUNTIFS(Scorekeeper!$E$7:$E$114,A11,Scorekeeper!$N$7:$N$114,C11)</x:f>
        <x:v>0</x:v>
      </x:c>
      <x:c r="G11" s="38" t="n">
        <x:f>COUNTIFS(Scorekeeper!$E$7:$E$114,A11,Scorekeeper!$F$7:$F$114,C11,Scorekeeper!$N$7:$N$114,"R*")</x:f>
        <x:v>0</x:v>
      </x:c>
      <x:c r="H11" s="38" t="n">
        <x:f>SUMIFS(Scorekeeper!$I$7:$I$114,Scorekeeper!$E$7:$E$114,A11,Scorekeeper!$F$7:$F$114,C11)</x:f>
        <x:v>0</x:v>
      </x:c>
      <x:c r="I11" s="38" t="n">
        <x:f>SUMIFS(Scorekeeper!$J$7:$J$114,Scorekeeper!$E$7:$E$114,A11,Scorekeeper!$F$7:$F$114,C11)</x:f>
        <x:v>0</x:v>
      </x:c>
      <x:c r="J11" s="38" t="n">
        <x:f>H11-I11</x:f>
        <x:v>0</x:v>
      </x:c>
      <x:c r="K11" s="56" t="n">
        <x:f>1+COUNTIFS($A$7:$A$42,A11,$B$7:$B$42,B11,$F$7:$F$42,"&gt;"&amp;F11)+COUNTIFS($A$7:$A$42,A11,$B$7:$B$42,B11,$F$7:$F$42,F11,$J$7:$J$42,"&gt;"&amp;J11)+COUNTIFS($A$7:$A$42,A11,$B$7:$B$42,B11,$F$7:$F$42,F11,$J$7:$J$42,J11,$H$7:$H$42,"&gt;"&amp;H11)</x:f>
        <x:v>1</x:v>
      </x:c>
    </x:row>
    <x:row r="12">
      <x:c r="A12" s="23" t="str">
        <x:v>Novice</x:v>
      </x:c>
      <x:c r="B12" s="24" t="str">
        <x:v>OCPC</x:v>
      </x:c>
      <x:c r="C12" s="24" t="str">
        <x:v>O6</x:v>
      </x:c>
      <x:c r="D12" s="24" t="str">
        <x:f>IFERROR(VLOOKUP(A12&amp;"|"&amp;C12,'Pair Setup'!$A$7:$F$42,5,FALSE)&amp;IF(VLOOKUP(A12&amp;"|"&amp;C12,'Pair Setup'!$A$7:$F$42,6,FALSE)&lt;&gt;""," / "&amp;VLOOKUP(A12&amp;"|"&amp;C12,'Pair Setup'!$A$7:$F$42,6,FALSE),""),"")</x:f>
      </x:c>
      <x:c r="E12" s="38" t="n">
        <x:f>F12+G12</x:f>
        <x:v>0</x:v>
      </x:c>
      <x:c r="F12" s="38" t="n">
        <x:f>COUNTIFS(Scorekeeper!$E$7:$E$114,A12,Scorekeeper!$N$7:$N$114,C12)</x:f>
        <x:v>0</x:v>
      </x:c>
      <x:c r="G12" s="38" t="n">
        <x:f>COUNTIFS(Scorekeeper!$E$7:$E$114,A12,Scorekeeper!$F$7:$F$114,C12,Scorekeeper!$N$7:$N$114,"R*")</x:f>
        <x:v>0</x:v>
      </x:c>
      <x:c r="H12" s="38" t="n">
        <x:f>SUMIFS(Scorekeeper!$I$7:$I$114,Scorekeeper!$E$7:$E$114,A12,Scorekeeper!$F$7:$F$114,C12)</x:f>
        <x:v>0</x:v>
      </x:c>
      <x:c r="I12" s="38" t="n">
        <x:f>SUMIFS(Scorekeeper!$J$7:$J$114,Scorekeeper!$E$7:$E$114,A12,Scorekeeper!$F$7:$F$114,C12)</x:f>
        <x:v>0</x:v>
      </x:c>
      <x:c r="J12" s="38" t="n">
        <x:f>H12-I12</x:f>
        <x:v>0</x:v>
      </x:c>
      <x:c r="K12" s="56" t="n">
        <x:f>1+COUNTIFS($A$7:$A$42,A12,$B$7:$B$42,B12,$F$7:$F$42,"&gt;"&amp;F12)+COUNTIFS($A$7:$A$42,A12,$B$7:$B$42,B12,$F$7:$F$42,F12,$J$7:$J$42,"&gt;"&amp;J12)+COUNTIFS($A$7:$A$42,A12,$B$7:$B$42,B12,$F$7:$F$42,F12,$J$7:$J$42,J12,$H$7:$H$42,"&gt;"&amp;H12)</x:f>
        <x:v>1</x:v>
      </x:c>
    </x:row>
    <x:row r="13">
      <x:c r="A13" s="23" t="str">
        <x:v>Novice</x:v>
      </x:c>
      <x:c r="B13" s="24" t="str">
        <x:v>Rally Rebels</x:v>
      </x:c>
      <x:c r="C13" s="24" t="str">
        <x:v>R1</x:v>
      </x:c>
      <x:c r="D13" s="24" t="str">
        <x:f>IFERROR(VLOOKUP(A13&amp;"|"&amp;C13,'Pair Setup'!$A$7:$F$42,5,FALSE)&amp;IF(VLOOKUP(A13&amp;"|"&amp;C13,'Pair Setup'!$A$7:$F$42,6,FALSE)&lt;&gt;""," / "&amp;VLOOKUP(A13&amp;"|"&amp;C13,'Pair Setup'!$A$7:$F$42,6,FALSE),""),"")</x:f>
      </x:c>
      <x:c r="E13" s="38" t="n">
        <x:f>F13+G13</x:f>
        <x:v>0</x:v>
      </x:c>
      <x:c r="F13" s="38" t="n">
        <x:f>COUNTIFS(Scorekeeper!$E$7:$E$114,A13,Scorekeeper!$N$7:$N$114,C13)</x:f>
        <x:v>0</x:v>
      </x:c>
      <x:c r="G13" s="38" t="n">
        <x:f>COUNTIFS(Scorekeeper!$E$7:$E$114,A13,Scorekeeper!$K$7:$K$114,C13,Scorekeeper!$N$7:$N$114,"O*")</x:f>
        <x:v>0</x:v>
      </x:c>
      <x:c r="H13" s="38" t="n">
        <x:f>SUMIFS(Scorekeeper!$J$7:$J$114,Scorekeeper!$E$7:$E$114,A13,Scorekeeper!$K$7:$K$114,C13)</x:f>
        <x:v>0</x:v>
      </x:c>
      <x:c r="I13" s="38" t="n">
        <x:f>SUMIFS(Scorekeeper!$I$7:$I$114,Scorekeeper!$E$7:$E$114,A13,Scorekeeper!$K$7:$K$114,C13)</x:f>
        <x:v>0</x:v>
      </x:c>
      <x:c r="J13" s="38" t="n">
        <x:f>H13-I13</x:f>
        <x:v>0</x:v>
      </x:c>
      <x:c r="K13" s="56" t="n">
        <x:f>1+COUNTIFS($A$7:$A$42,A13,$B$7:$B$42,B13,$F$7:$F$42,"&gt;"&amp;F13)+COUNTIFS($A$7:$A$42,A13,$B$7:$B$42,B13,$F$7:$F$42,F13,$J$7:$J$42,"&gt;"&amp;J13)+COUNTIFS($A$7:$A$42,A13,$B$7:$B$42,B13,$F$7:$F$42,F13,$J$7:$J$42,J13,$H$7:$H$42,"&gt;"&amp;H13)</x:f>
        <x:v>1</x:v>
      </x:c>
    </x:row>
    <x:row r="14">
      <x:c r="A14" s="23" t="str">
        <x:v>Novice</x:v>
      </x:c>
      <x:c r="B14" s="24" t="str">
        <x:v>Rally Rebels</x:v>
      </x:c>
      <x:c r="C14" s="24" t="str">
        <x:v>R2</x:v>
      </x:c>
      <x:c r="D14" s="24" t="str">
        <x:f>IFERROR(VLOOKUP(A14&amp;"|"&amp;C14,'Pair Setup'!$A$7:$F$42,5,FALSE)&amp;IF(VLOOKUP(A14&amp;"|"&amp;C14,'Pair Setup'!$A$7:$F$42,6,FALSE)&lt;&gt;""," / "&amp;VLOOKUP(A14&amp;"|"&amp;C14,'Pair Setup'!$A$7:$F$42,6,FALSE),""),"")</x:f>
      </x:c>
      <x:c r="E14" s="38" t="n">
        <x:f>F14+G14</x:f>
        <x:v>0</x:v>
      </x:c>
      <x:c r="F14" s="38" t="n">
        <x:f>COUNTIFS(Scorekeeper!$E$7:$E$114,A14,Scorekeeper!$N$7:$N$114,C14)</x:f>
        <x:v>0</x:v>
      </x:c>
      <x:c r="G14" s="38" t="n">
        <x:f>COUNTIFS(Scorekeeper!$E$7:$E$114,A14,Scorekeeper!$K$7:$K$114,C14,Scorekeeper!$N$7:$N$114,"O*")</x:f>
        <x:v>0</x:v>
      </x:c>
      <x:c r="H14" s="38" t="n">
        <x:f>SUMIFS(Scorekeeper!$J$7:$J$114,Scorekeeper!$E$7:$E$114,A14,Scorekeeper!$K$7:$K$114,C14)</x:f>
        <x:v>0</x:v>
      </x:c>
      <x:c r="I14" s="38" t="n">
        <x:f>SUMIFS(Scorekeeper!$I$7:$I$114,Scorekeeper!$E$7:$E$114,A14,Scorekeeper!$K$7:$K$114,C14)</x:f>
        <x:v>0</x:v>
      </x:c>
      <x:c r="J14" s="38" t="n">
        <x:f>H14-I14</x:f>
        <x:v>0</x:v>
      </x:c>
      <x:c r="K14" s="56" t="n">
        <x:f>1+COUNTIFS($A$7:$A$42,A14,$B$7:$B$42,B14,$F$7:$F$42,"&gt;"&amp;F14)+COUNTIFS($A$7:$A$42,A14,$B$7:$B$42,B14,$F$7:$F$42,F14,$J$7:$J$42,"&gt;"&amp;J14)+COUNTIFS($A$7:$A$42,A14,$B$7:$B$42,B14,$F$7:$F$42,F14,$J$7:$J$42,J14,$H$7:$H$42,"&gt;"&amp;H14)</x:f>
        <x:v>1</x:v>
      </x:c>
    </x:row>
    <x:row r="15">
      <x:c r="A15" s="23" t="str">
        <x:v>Novice</x:v>
      </x:c>
      <x:c r="B15" s="24" t="str">
        <x:v>Rally Rebels</x:v>
      </x:c>
      <x:c r="C15" s="24" t="str">
        <x:v>R3</x:v>
      </x:c>
      <x:c r="D15" s="24" t="str">
        <x:f>IFERROR(VLOOKUP(A15&amp;"|"&amp;C15,'Pair Setup'!$A$7:$F$42,5,FALSE)&amp;IF(VLOOKUP(A15&amp;"|"&amp;C15,'Pair Setup'!$A$7:$F$42,6,FALSE)&lt;&gt;""," / "&amp;VLOOKUP(A15&amp;"|"&amp;C15,'Pair Setup'!$A$7:$F$42,6,FALSE),""),"")</x:f>
      </x:c>
      <x:c r="E15" s="38" t="n">
        <x:f>F15+G15</x:f>
        <x:v>0</x:v>
      </x:c>
      <x:c r="F15" s="38" t="n">
        <x:f>COUNTIFS(Scorekeeper!$E$7:$E$114,A15,Scorekeeper!$N$7:$N$114,C15)</x:f>
        <x:v>0</x:v>
      </x:c>
      <x:c r="G15" s="38" t="n">
        <x:f>COUNTIFS(Scorekeeper!$E$7:$E$114,A15,Scorekeeper!$K$7:$K$114,C15,Scorekeeper!$N$7:$N$114,"O*")</x:f>
        <x:v>0</x:v>
      </x:c>
      <x:c r="H15" s="38" t="n">
        <x:f>SUMIFS(Scorekeeper!$J$7:$J$114,Scorekeeper!$E$7:$E$114,A15,Scorekeeper!$K$7:$K$114,C15)</x:f>
        <x:v>0</x:v>
      </x:c>
      <x:c r="I15" s="38" t="n">
        <x:f>SUMIFS(Scorekeeper!$I$7:$I$114,Scorekeeper!$E$7:$E$114,A15,Scorekeeper!$K$7:$K$114,C15)</x:f>
        <x:v>0</x:v>
      </x:c>
      <x:c r="J15" s="38" t="n">
        <x:f>H15-I15</x:f>
        <x:v>0</x:v>
      </x:c>
      <x:c r="K15" s="56" t="n">
        <x:f>1+COUNTIFS($A$7:$A$42,A15,$B$7:$B$42,B15,$F$7:$F$42,"&gt;"&amp;F15)+COUNTIFS($A$7:$A$42,A15,$B$7:$B$42,B15,$F$7:$F$42,F15,$J$7:$J$42,"&gt;"&amp;J15)+COUNTIFS($A$7:$A$42,A15,$B$7:$B$42,B15,$F$7:$F$42,F15,$J$7:$J$42,J15,$H$7:$H$42,"&gt;"&amp;H15)</x:f>
        <x:v>1</x:v>
      </x:c>
    </x:row>
    <x:row r="16">
      <x:c r="A16" s="23" t="str">
        <x:v>Novice</x:v>
      </x:c>
      <x:c r="B16" s="24" t="str">
        <x:v>Rally Rebels</x:v>
      </x:c>
      <x:c r="C16" s="24" t="str">
        <x:v>R4</x:v>
      </x:c>
      <x:c r="D16" s="24" t="str">
        <x:f>IFERROR(VLOOKUP(A16&amp;"|"&amp;C16,'Pair Setup'!$A$7:$F$42,5,FALSE)&amp;IF(VLOOKUP(A16&amp;"|"&amp;C16,'Pair Setup'!$A$7:$F$42,6,FALSE)&lt;&gt;""," / "&amp;VLOOKUP(A16&amp;"|"&amp;C16,'Pair Setup'!$A$7:$F$42,6,FALSE),""),"")</x:f>
      </x:c>
      <x:c r="E16" s="38" t="n">
        <x:f>F16+G16</x:f>
        <x:v>0</x:v>
      </x:c>
      <x:c r="F16" s="38" t="n">
        <x:f>COUNTIFS(Scorekeeper!$E$7:$E$114,A16,Scorekeeper!$N$7:$N$114,C16)</x:f>
        <x:v>0</x:v>
      </x:c>
      <x:c r="G16" s="38" t="n">
        <x:f>COUNTIFS(Scorekeeper!$E$7:$E$114,A16,Scorekeeper!$K$7:$K$114,C16,Scorekeeper!$N$7:$N$114,"O*")</x:f>
        <x:v>0</x:v>
      </x:c>
      <x:c r="H16" s="38" t="n">
        <x:f>SUMIFS(Scorekeeper!$J$7:$J$114,Scorekeeper!$E$7:$E$114,A16,Scorekeeper!$K$7:$K$114,C16)</x:f>
        <x:v>0</x:v>
      </x:c>
      <x:c r="I16" s="38" t="n">
        <x:f>SUMIFS(Scorekeeper!$I$7:$I$114,Scorekeeper!$E$7:$E$114,A16,Scorekeeper!$K$7:$K$114,C16)</x:f>
        <x:v>0</x:v>
      </x:c>
      <x:c r="J16" s="38" t="n">
        <x:f>H16-I16</x:f>
        <x:v>0</x:v>
      </x:c>
      <x:c r="K16" s="56" t="n">
        <x:f>1+COUNTIFS($A$7:$A$42,A16,$B$7:$B$42,B16,$F$7:$F$42,"&gt;"&amp;F16)+COUNTIFS($A$7:$A$42,A16,$B$7:$B$42,B16,$F$7:$F$42,F16,$J$7:$J$42,"&gt;"&amp;J16)+COUNTIFS($A$7:$A$42,A16,$B$7:$B$42,B16,$F$7:$F$42,F16,$J$7:$J$42,J16,$H$7:$H$42,"&gt;"&amp;H16)</x:f>
        <x:v>1</x:v>
      </x:c>
    </x:row>
    <x:row r="17">
      <x:c r="A17" s="23" t="str">
        <x:v>Novice</x:v>
      </x:c>
      <x:c r="B17" s="24" t="str">
        <x:v>Rally Rebels</x:v>
      </x:c>
      <x:c r="C17" s="24" t="str">
        <x:v>R5</x:v>
      </x:c>
      <x:c r="D17" s="24" t="str">
        <x:f>IFERROR(VLOOKUP(A17&amp;"|"&amp;C17,'Pair Setup'!$A$7:$F$42,5,FALSE)&amp;IF(VLOOKUP(A17&amp;"|"&amp;C17,'Pair Setup'!$A$7:$F$42,6,FALSE)&lt;&gt;""," / "&amp;VLOOKUP(A17&amp;"|"&amp;C17,'Pair Setup'!$A$7:$F$42,6,FALSE),""),"")</x:f>
      </x:c>
      <x:c r="E17" s="38" t="n">
        <x:f>F17+G17</x:f>
        <x:v>0</x:v>
      </x:c>
      <x:c r="F17" s="38" t="n">
        <x:f>COUNTIFS(Scorekeeper!$E$7:$E$114,A17,Scorekeeper!$N$7:$N$114,C17)</x:f>
        <x:v>0</x:v>
      </x:c>
      <x:c r="G17" s="38" t="n">
        <x:f>COUNTIFS(Scorekeeper!$E$7:$E$114,A17,Scorekeeper!$K$7:$K$114,C17,Scorekeeper!$N$7:$N$114,"O*")</x:f>
        <x:v>0</x:v>
      </x:c>
      <x:c r="H17" s="38" t="n">
        <x:f>SUMIFS(Scorekeeper!$J$7:$J$114,Scorekeeper!$E$7:$E$114,A17,Scorekeeper!$K$7:$K$114,C17)</x:f>
        <x:v>0</x:v>
      </x:c>
      <x:c r="I17" s="38" t="n">
        <x:f>SUMIFS(Scorekeeper!$I$7:$I$114,Scorekeeper!$E$7:$E$114,A17,Scorekeeper!$K$7:$K$114,C17)</x:f>
        <x:v>0</x:v>
      </x:c>
      <x:c r="J17" s="38" t="n">
        <x:f>H17-I17</x:f>
        <x:v>0</x:v>
      </x:c>
      <x:c r="K17" s="56" t="n">
        <x:f>1+COUNTIFS($A$7:$A$42,A17,$B$7:$B$42,B17,$F$7:$F$42,"&gt;"&amp;F17)+COUNTIFS($A$7:$A$42,A17,$B$7:$B$42,B17,$F$7:$F$42,F17,$J$7:$J$42,"&gt;"&amp;J17)+COUNTIFS($A$7:$A$42,A17,$B$7:$B$42,B17,$F$7:$F$42,F17,$J$7:$J$42,J17,$H$7:$H$42,"&gt;"&amp;H17)</x:f>
        <x:v>1</x:v>
      </x:c>
    </x:row>
    <x:row r="18">
      <x:c r="A18" s="23" t="str">
        <x:v>Novice</x:v>
      </x:c>
      <x:c r="B18" s="24" t="str">
        <x:v>Rally Rebels</x:v>
      </x:c>
      <x:c r="C18" s="24" t="str">
        <x:v>R6</x:v>
      </x:c>
      <x:c r="D18" s="24" t="str">
        <x:f>IFERROR(VLOOKUP(A18&amp;"|"&amp;C18,'Pair Setup'!$A$7:$F$42,5,FALSE)&amp;IF(VLOOKUP(A18&amp;"|"&amp;C18,'Pair Setup'!$A$7:$F$42,6,FALSE)&lt;&gt;""," / "&amp;VLOOKUP(A18&amp;"|"&amp;C18,'Pair Setup'!$A$7:$F$42,6,FALSE),""),"")</x:f>
      </x:c>
      <x:c r="E18" s="38" t="n">
        <x:f>F18+G18</x:f>
        <x:v>0</x:v>
      </x:c>
      <x:c r="F18" s="38" t="n">
        <x:f>COUNTIFS(Scorekeeper!$E$7:$E$114,A18,Scorekeeper!$N$7:$N$114,C18)</x:f>
        <x:v>0</x:v>
      </x:c>
      <x:c r="G18" s="38" t="n">
        <x:f>COUNTIFS(Scorekeeper!$E$7:$E$114,A18,Scorekeeper!$K$7:$K$114,C18,Scorekeeper!$N$7:$N$114,"O*")</x:f>
        <x:v>0</x:v>
      </x:c>
      <x:c r="H18" s="38" t="n">
        <x:f>SUMIFS(Scorekeeper!$J$7:$J$114,Scorekeeper!$E$7:$E$114,A18,Scorekeeper!$K$7:$K$114,C18)</x:f>
        <x:v>0</x:v>
      </x:c>
      <x:c r="I18" s="38" t="n">
        <x:f>SUMIFS(Scorekeeper!$I$7:$I$114,Scorekeeper!$E$7:$E$114,A18,Scorekeeper!$K$7:$K$114,C18)</x:f>
        <x:v>0</x:v>
      </x:c>
      <x:c r="J18" s="38" t="n">
        <x:f>H18-I18</x:f>
        <x:v>0</x:v>
      </x:c>
      <x:c r="K18" s="56" t="n">
        <x:f>1+COUNTIFS($A$7:$A$42,A18,$B$7:$B$42,B18,$F$7:$F$42,"&gt;"&amp;F18)+COUNTIFS($A$7:$A$42,A18,$B$7:$B$42,B18,$F$7:$F$42,F18,$J$7:$J$42,"&gt;"&amp;J18)+COUNTIFS($A$7:$A$42,A18,$B$7:$B$42,B18,$F$7:$F$42,F18,$J$7:$J$42,J18,$H$7:$H$42,"&gt;"&amp;H18)</x:f>
        <x:v>1</x:v>
      </x:c>
    </x:row>
    <x:row r="19">
      <x:c r="A19" s="23" t="str">
        <x:v>Low Intermediate</x:v>
      </x:c>
      <x:c r="B19" s="24" t="str">
        <x:v>OCPC</x:v>
      </x:c>
      <x:c r="C19" s="24" t="str">
        <x:v>O1</x:v>
      </x:c>
      <x:c r="D19" s="24" t="str">
        <x:f>IFERROR(VLOOKUP(A19&amp;"|"&amp;C19,'Pair Setup'!$A$7:$F$42,5,FALSE)&amp;IF(VLOOKUP(A19&amp;"|"&amp;C19,'Pair Setup'!$A$7:$F$42,6,FALSE)&lt;&gt;""," / "&amp;VLOOKUP(A19&amp;"|"&amp;C19,'Pair Setup'!$A$7:$F$42,6,FALSE),""),"")</x:f>
      </x:c>
      <x:c r="E19" s="38" t="n">
        <x:f>F19+G19</x:f>
        <x:v>0</x:v>
      </x:c>
      <x:c r="F19" s="38" t="n">
        <x:f>COUNTIFS(Scorekeeper!$E$7:$E$114,A19,Scorekeeper!$N$7:$N$114,C19)</x:f>
        <x:v>0</x:v>
      </x:c>
      <x:c r="G19" s="38" t="n">
        <x:f>COUNTIFS(Scorekeeper!$E$7:$E$114,A19,Scorekeeper!$F$7:$F$114,C19,Scorekeeper!$N$7:$N$114,"R*")</x:f>
        <x:v>0</x:v>
      </x:c>
      <x:c r="H19" s="38" t="n">
        <x:f>SUMIFS(Scorekeeper!$I$7:$I$114,Scorekeeper!$E$7:$E$114,A19,Scorekeeper!$F$7:$F$114,C19)</x:f>
        <x:v>0</x:v>
      </x:c>
      <x:c r="I19" s="38" t="n">
        <x:f>SUMIFS(Scorekeeper!$J$7:$J$114,Scorekeeper!$E$7:$E$114,A19,Scorekeeper!$F$7:$F$114,C19)</x:f>
        <x:v>0</x:v>
      </x:c>
      <x:c r="J19" s="38" t="n">
        <x:f>H19-I19</x:f>
        <x:v>0</x:v>
      </x:c>
      <x:c r="K19" s="56" t="n">
        <x:f>1+COUNTIFS($A$7:$A$42,A19,$B$7:$B$42,B19,$F$7:$F$42,"&gt;"&amp;F19)+COUNTIFS($A$7:$A$42,A19,$B$7:$B$42,B19,$F$7:$F$42,F19,$J$7:$J$42,"&gt;"&amp;J19)+COUNTIFS($A$7:$A$42,A19,$B$7:$B$42,B19,$F$7:$F$42,F19,$J$7:$J$42,J19,$H$7:$H$42,"&gt;"&amp;H19)</x:f>
        <x:v>1</x:v>
      </x:c>
    </x:row>
    <x:row r="20">
      <x:c r="A20" s="23" t="str">
        <x:v>Low Intermediate</x:v>
      </x:c>
      <x:c r="B20" s="24" t="str">
        <x:v>OCPC</x:v>
      </x:c>
      <x:c r="C20" s="24" t="str">
        <x:v>O2</x:v>
      </x:c>
      <x:c r="D20" s="24" t="str">
        <x:f>IFERROR(VLOOKUP(A20&amp;"|"&amp;C20,'Pair Setup'!$A$7:$F$42,5,FALSE)&amp;IF(VLOOKUP(A20&amp;"|"&amp;C20,'Pair Setup'!$A$7:$F$42,6,FALSE)&lt;&gt;""," / "&amp;VLOOKUP(A20&amp;"|"&amp;C20,'Pair Setup'!$A$7:$F$42,6,FALSE),""),"")</x:f>
      </x:c>
      <x:c r="E20" s="38" t="n">
        <x:f>F20+G20</x:f>
        <x:v>0</x:v>
      </x:c>
      <x:c r="F20" s="38" t="n">
        <x:f>COUNTIFS(Scorekeeper!$E$7:$E$114,A20,Scorekeeper!$N$7:$N$114,C20)</x:f>
        <x:v>0</x:v>
      </x:c>
      <x:c r="G20" s="38" t="n">
        <x:f>COUNTIFS(Scorekeeper!$E$7:$E$114,A20,Scorekeeper!$F$7:$F$114,C20,Scorekeeper!$N$7:$N$114,"R*")</x:f>
        <x:v>0</x:v>
      </x:c>
      <x:c r="H20" s="38" t="n">
        <x:f>SUMIFS(Scorekeeper!$I$7:$I$114,Scorekeeper!$E$7:$E$114,A20,Scorekeeper!$F$7:$F$114,C20)</x:f>
        <x:v>0</x:v>
      </x:c>
      <x:c r="I20" s="38" t="n">
        <x:f>SUMIFS(Scorekeeper!$J$7:$J$114,Scorekeeper!$E$7:$E$114,A20,Scorekeeper!$F$7:$F$114,C20)</x:f>
        <x:v>0</x:v>
      </x:c>
      <x:c r="J20" s="38" t="n">
        <x:f>H20-I20</x:f>
        <x:v>0</x:v>
      </x:c>
      <x:c r="K20" s="56" t="n">
        <x:f>1+COUNTIFS($A$7:$A$42,A20,$B$7:$B$42,B20,$F$7:$F$42,"&gt;"&amp;F20)+COUNTIFS($A$7:$A$42,A20,$B$7:$B$42,B20,$F$7:$F$42,F20,$J$7:$J$42,"&gt;"&amp;J20)+COUNTIFS($A$7:$A$42,A20,$B$7:$B$42,B20,$F$7:$F$42,F20,$J$7:$J$42,J20,$H$7:$H$42,"&gt;"&amp;H20)</x:f>
        <x:v>1</x:v>
      </x:c>
    </x:row>
    <x:row r="21">
      <x:c r="A21" s="23" t="str">
        <x:v>Low Intermediate</x:v>
      </x:c>
      <x:c r="B21" s="24" t="str">
        <x:v>OCPC</x:v>
      </x:c>
      <x:c r="C21" s="24" t="str">
        <x:v>O3</x:v>
      </x:c>
      <x:c r="D21" s="24" t="str">
        <x:f>IFERROR(VLOOKUP(A21&amp;"|"&amp;C21,'Pair Setup'!$A$7:$F$42,5,FALSE)&amp;IF(VLOOKUP(A21&amp;"|"&amp;C21,'Pair Setup'!$A$7:$F$42,6,FALSE)&lt;&gt;""," / "&amp;VLOOKUP(A21&amp;"|"&amp;C21,'Pair Setup'!$A$7:$F$42,6,FALSE),""),"")</x:f>
      </x:c>
      <x:c r="E21" s="38" t="n">
        <x:f>F21+G21</x:f>
        <x:v>0</x:v>
      </x:c>
      <x:c r="F21" s="38" t="n">
        <x:f>COUNTIFS(Scorekeeper!$E$7:$E$114,A21,Scorekeeper!$N$7:$N$114,C21)</x:f>
        <x:v>0</x:v>
      </x:c>
      <x:c r="G21" s="38" t="n">
        <x:f>COUNTIFS(Scorekeeper!$E$7:$E$114,A21,Scorekeeper!$F$7:$F$114,C21,Scorekeeper!$N$7:$N$114,"R*")</x:f>
        <x:v>0</x:v>
      </x:c>
      <x:c r="H21" s="38" t="n">
        <x:f>SUMIFS(Scorekeeper!$I$7:$I$114,Scorekeeper!$E$7:$E$114,A21,Scorekeeper!$F$7:$F$114,C21)</x:f>
        <x:v>0</x:v>
      </x:c>
      <x:c r="I21" s="38" t="n">
        <x:f>SUMIFS(Scorekeeper!$J$7:$J$114,Scorekeeper!$E$7:$E$114,A21,Scorekeeper!$F$7:$F$114,C21)</x:f>
        <x:v>0</x:v>
      </x:c>
      <x:c r="J21" s="38" t="n">
        <x:f>H21-I21</x:f>
        <x:v>0</x:v>
      </x:c>
      <x:c r="K21" s="56" t="n">
        <x:f>1+COUNTIFS($A$7:$A$42,A21,$B$7:$B$42,B21,$F$7:$F$42,"&gt;"&amp;F21)+COUNTIFS($A$7:$A$42,A21,$B$7:$B$42,B21,$F$7:$F$42,F21,$J$7:$J$42,"&gt;"&amp;J21)+COUNTIFS($A$7:$A$42,A21,$B$7:$B$42,B21,$F$7:$F$42,F21,$J$7:$J$42,J21,$H$7:$H$42,"&gt;"&amp;H21)</x:f>
        <x:v>1</x:v>
      </x:c>
    </x:row>
    <x:row r="22">
      <x:c r="A22" s="23" t="str">
        <x:v>Low Intermediate</x:v>
      </x:c>
      <x:c r="B22" s="24" t="str">
        <x:v>OCPC</x:v>
      </x:c>
      <x:c r="C22" s="24" t="str">
        <x:v>O4</x:v>
      </x:c>
      <x:c r="D22" s="24" t="str">
        <x:f>IFERROR(VLOOKUP(A22&amp;"|"&amp;C22,'Pair Setup'!$A$7:$F$42,5,FALSE)&amp;IF(VLOOKUP(A22&amp;"|"&amp;C22,'Pair Setup'!$A$7:$F$42,6,FALSE)&lt;&gt;""," / "&amp;VLOOKUP(A22&amp;"|"&amp;C22,'Pair Setup'!$A$7:$F$42,6,FALSE),""),"")</x:f>
      </x:c>
      <x:c r="E22" s="38" t="n">
        <x:f>F22+G22</x:f>
        <x:v>0</x:v>
      </x:c>
      <x:c r="F22" s="38" t="n">
        <x:f>COUNTIFS(Scorekeeper!$E$7:$E$114,A22,Scorekeeper!$N$7:$N$114,C22)</x:f>
        <x:v>0</x:v>
      </x:c>
      <x:c r="G22" s="38" t="n">
        <x:f>COUNTIFS(Scorekeeper!$E$7:$E$114,A22,Scorekeeper!$F$7:$F$114,C22,Scorekeeper!$N$7:$N$114,"R*")</x:f>
        <x:v>0</x:v>
      </x:c>
      <x:c r="H22" s="38" t="n">
        <x:f>SUMIFS(Scorekeeper!$I$7:$I$114,Scorekeeper!$E$7:$E$114,A22,Scorekeeper!$F$7:$F$114,C22)</x:f>
        <x:v>0</x:v>
      </x:c>
      <x:c r="I22" s="38" t="n">
        <x:f>SUMIFS(Scorekeeper!$J$7:$J$114,Scorekeeper!$E$7:$E$114,A22,Scorekeeper!$F$7:$F$114,C22)</x:f>
        <x:v>0</x:v>
      </x:c>
      <x:c r="J22" s="38" t="n">
        <x:f>H22-I22</x:f>
        <x:v>0</x:v>
      </x:c>
      <x:c r="K22" s="56" t="n">
        <x:f>1+COUNTIFS($A$7:$A$42,A22,$B$7:$B$42,B22,$F$7:$F$42,"&gt;"&amp;F22)+COUNTIFS($A$7:$A$42,A22,$B$7:$B$42,B22,$F$7:$F$42,F22,$J$7:$J$42,"&gt;"&amp;J22)+COUNTIFS($A$7:$A$42,A22,$B$7:$B$42,B22,$F$7:$F$42,F22,$J$7:$J$42,J22,$H$7:$H$42,"&gt;"&amp;H22)</x:f>
        <x:v>1</x:v>
      </x:c>
    </x:row>
    <x:row r="23">
      <x:c r="A23" s="23" t="str">
        <x:v>Low Intermediate</x:v>
      </x:c>
      <x:c r="B23" s="24" t="str">
        <x:v>OCPC</x:v>
      </x:c>
      <x:c r="C23" s="24" t="str">
        <x:v>O5</x:v>
      </x:c>
      <x:c r="D23" s="24" t="str">
        <x:f>IFERROR(VLOOKUP(A23&amp;"|"&amp;C23,'Pair Setup'!$A$7:$F$42,5,FALSE)&amp;IF(VLOOKUP(A23&amp;"|"&amp;C23,'Pair Setup'!$A$7:$F$42,6,FALSE)&lt;&gt;""," / "&amp;VLOOKUP(A23&amp;"|"&amp;C23,'Pair Setup'!$A$7:$F$42,6,FALSE),""),"")</x:f>
      </x:c>
      <x:c r="E23" s="38" t="n">
        <x:f>F23+G23</x:f>
        <x:v>0</x:v>
      </x:c>
      <x:c r="F23" s="38" t="n">
        <x:f>COUNTIFS(Scorekeeper!$E$7:$E$114,A23,Scorekeeper!$N$7:$N$114,C23)</x:f>
        <x:v>0</x:v>
      </x:c>
      <x:c r="G23" s="38" t="n">
        <x:f>COUNTIFS(Scorekeeper!$E$7:$E$114,A23,Scorekeeper!$F$7:$F$114,C23,Scorekeeper!$N$7:$N$114,"R*")</x:f>
        <x:v>0</x:v>
      </x:c>
      <x:c r="H23" s="38" t="n">
        <x:f>SUMIFS(Scorekeeper!$I$7:$I$114,Scorekeeper!$E$7:$E$114,A23,Scorekeeper!$F$7:$F$114,C23)</x:f>
        <x:v>0</x:v>
      </x:c>
      <x:c r="I23" s="38" t="n">
        <x:f>SUMIFS(Scorekeeper!$J$7:$J$114,Scorekeeper!$E$7:$E$114,A23,Scorekeeper!$F$7:$F$114,C23)</x:f>
        <x:v>0</x:v>
      </x:c>
      <x:c r="J23" s="38" t="n">
        <x:f>H23-I23</x:f>
        <x:v>0</x:v>
      </x:c>
      <x:c r="K23" s="56" t="n">
        <x:f>1+COUNTIFS($A$7:$A$42,A23,$B$7:$B$42,B23,$F$7:$F$42,"&gt;"&amp;F23)+COUNTIFS($A$7:$A$42,A23,$B$7:$B$42,B23,$F$7:$F$42,F23,$J$7:$J$42,"&gt;"&amp;J23)+COUNTIFS($A$7:$A$42,A23,$B$7:$B$42,B23,$F$7:$F$42,F23,$J$7:$J$42,J23,$H$7:$H$42,"&gt;"&amp;H23)</x:f>
        <x:v>1</x:v>
      </x:c>
    </x:row>
    <x:row r="24">
      <x:c r="A24" s="23" t="str">
        <x:v>Low Intermediate</x:v>
      </x:c>
      <x:c r="B24" s="24" t="str">
        <x:v>OCPC</x:v>
      </x:c>
      <x:c r="C24" s="24" t="str">
        <x:v>O6</x:v>
      </x:c>
      <x:c r="D24" s="24" t="str">
        <x:f>IFERROR(VLOOKUP(A24&amp;"|"&amp;C24,'Pair Setup'!$A$7:$F$42,5,FALSE)&amp;IF(VLOOKUP(A24&amp;"|"&amp;C24,'Pair Setup'!$A$7:$F$42,6,FALSE)&lt;&gt;""," / "&amp;VLOOKUP(A24&amp;"|"&amp;C24,'Pair Setup'!$A$7:$F$42,6,FALSE),""),"")</x:f>
      </x:c>
      <x:c r="E24" s="38" t="n">
        <x:f>F24+G24</x:f>
        <x:v>0</x:v>
      </x:c>
      <x:c r="F24" s="38" t="n">
        <x:f>COUNTIFS(Scorekeeper!$E$7:$E$114,A24,Scorekeeper!$N$7:$N$114,C24)</x:f>
        <x:v>0</x:v>
      </x:c>
      <x:c r="G24" s="38" t="n">
        <x:f>COUNTIFS(Scorekeeper!$E$7:$E$114,A24,Scorekeeper!$F$7:$F$114,C24,Scorekeeper!$N$7:$N$114,"R*")</x:f>
        <x:v>0</x:v>
      </x:c>
      <x:c r="H24" s="38" t="n">
        <x:f>SUMIFS(Scorekeeper!$I$7:$I$114,Scorekeeper!$E$7:$E$114,A24,Scorekeeper!$F$7:$F$114,C24)</x:f>
        <x:v>0</x:v>
      </x:c>
      <x:c r="I24" s="38" t="n">
        <x:f>SUMIFS(Scorekeeper!$J$7:$J$114,Scorekeeper!$E$7:$E$114,A24,Scorekeeper!$F$7:$F$114,C24)</x:f>
        <x:v>0</x:v>
      </x:c>
      <x:c r="J24" s="38" t="n">
        <x:f>H24-I24</x:f>
        <x:v>0</x:v>
      </x:c>
      <x:c r="K24" s="56" t="n">
        <x:f>1+COUNTIFS($A$7:$A$42,A24,$B$7:$B$42,B24,$F$7:$F$42,"&gt;"&amp;F24)+COUNTIFS($A$7:$A$42,A24,$B$7:$B$42,B24,$F$7:$F$42,F24,$J$7:$J$42,"&gt;"&amp;J24)+COUNTIFS($A$7:$A$42,A24,$B$7:$B$42,B24,$F$7:$F$42,F24,$J$7:$J$42,J24,$H$7:$H$42,"&gt;"&amp;H24)</x:f>
        <x:v>1</x:v>
      </x:c>
    </x:row>
    <x:row r="25">
      <x:c r="A25" s="23" t="str">
        <x:v>Low Intermediate</x:v>
      </x:c>
      <x:c r="B25" s="24" t="str">
        <x:v>Rally Rebels</x:v>
      </x:c>
      <x:c r="C25" s="24" t="str">
        <x:v>R1</x:v>
      </x:c>
      <x:c r="D25" s="24" t="str">
        <x:f>IFERROR(VLOOKUP(A25&amp;"|"&amp;C25,'Pair Setup'!$A$7:$F$42,5,FALSE)&amp;IF(VLOOKUP(A25&amp;"|"&amp;C25,'Pair Setup'!$A$7:$F$42,6,FALSE)&lt;&gt;""," / "&amp;VLOOKUP(A25&amp;"|"&amp;C25,'Pair Setup'!$A$7:$F$42,6,FALSE),""),"")</x:f>
      </x:c>
      <x:c r="E25" s="38" t="n">
        <x:f>F25+G25</x:f>
        <x:v>0</x:v>
      </x:c>
      <x:c r="F25" s="38" t="n">
        <x:f>COUNTIFS(Scorekeeper!$E$7:$E$114,A25,Scorekeeper!$N$7:$N$114,C25)</x:f>
        <x:v>0</x:v>
      </x:c>
      <x:c r="G25" s="38" t="n">
        <x:f>COUNTIFS(Scorekeeper!$E$7:$E$114,A25,Scorekeeper!$K$7:$K$114,C25,Scorekeeper!$N$7:$N$114,"O*")</x:f>
        <x:v>0</x:v>
      </x:c>
      <x:c r="H25" s="38" t="n">
        <x:f>SUMIFS(Scorekeeper!$J$7:$J$114,Scorekeeper!$E$7:$E$114,A25,Scorekeeper!$K$7:$K$114,C25)</x:f>
        <x:v>0</x:v>
      </x:c>
      <x:c r="I25" s="38" t="n">
        <x:f>SUMIFS(Scorekeeper!$I$7:$I$114,Scorekeeper!$E$7:$E$114,A25,Scorekeeper!$K$7:$K$114,C25)</x:f>
        <x:v>0</x:v>
      </x:c>
      <x:c r="J25" s="38" t="n">
        <x:f>H25-I25</x:f>
        <x:v>0</x:v>
      </x:c>
      <x:c r="K25" s="56" t="n">
        <x:f>1+COUNTIFS($A$7:$A$42,A25,$B$7:$B$42,B25,$F$7:$F$42,"&gt;"&amp;F25)+COUNTIFS($A$7:$A$42,A25,$B$7:$B$42,B25,$F$7:$F$42,F25,$J$7:$J$42,"&gt;"&amp;J25)+COUNTIFS($A$7:$A$42,A25,$B$7:$B$42,B25,$F$7:$F$42,F25,$J$7:$J$42,J25,$H$7:$H$42,"&gt;"&amp;H25)</x:f>
        <x:v>1</x:v>
      </x:c>
    </x:row>
    <x:row r="26">
      <x:c r="A26" s="23" t="str">
        <x:v>Low Intermediate</x:v>
      </x:c>
      <x:c r="B26" s="24" t="str">
        <x:v>Rally Rebels</x:v>
      </x:c>
      <x:c r="C26" s="24" t="str">
        <x:v>R2</x:v>
      </x:c>
      <x:c r="D26" s="24" t="str">
        <x:f>IFERROR(VLOOKUP(A26&amp;"|"&amp;C26,'Pair Setup'!$A$7:$F$42,5,FALSE)&amp;IF(VLOOKUP(A26&amp;"|"&amp;C26,'Pair Setup'!$A$7:$F$42,6,FALSE)&lt;&gt;""," / "&amp;VLOOKUP(A26&amp;"|"&amp;C26,'Pair Setup'!$A$7:$F$42,6,FALSE),""),"")</x:f>
      </x:c>
      <x:c r="E26" s="38" t="n">
        <x:f>F26+G26</x:f>
        <x:v>0</x:v>
      </x:c>
      <x:c r="F26" s="38" t="n">
        <x:f>COUNTIFS(Scorekeeper!$E$7:$E$114,A26,Scorekeeper!$N$7:$N$114,C26)</x:f>
        <x:v>0</x:v>
      </x:c>
      <x:c r="G26" s="38" t="n">
        <x:f>COUNTIFS(Scorekeeper!$E$7:$E$114,A26,Scorekeeper!$K$7:$K$114,C26,Scorekeeper!$N$7:$N$114,"O*")</x:f>
        <x:v>0</x:v>
      </x:c>
      <x:c r="H26" s="38" t="n">
        <x:f>SUMIFS(Scorekeeper!$J$7:$J$114,Scorekeeper!$E$7:$E$114,A26,Scorekeeper!$K$7:$K$114,C26)</x:f>
        <x:v>0</x:v>
      </x:c>
      <x:c r="I26" s="38" t="n">
        <x:f>SUMIFS(Scorekeeper!$I$7:$I$114,Scorekeeper!$E$7:$E$114,A26,Scorekeeper!$K$7:$K$114,C26)</x:f>
        <x:v>0</x:v>
      </x:c>
      <x:c r="J26" s="38" t="n">
        <x:f>H26-I26</x:f>
        <x:v>0</x:v>
      </x:c>
      <x:c r="K26" s="56" t="n">
        <x:f>1+COUNTIFS($A$7:$A$42,A26,$B$7:$B$42,B26,$F$7:$F$42,"&gt;"&amp;F26)+COUNTIFS($A$7:$A$42,A26,$B$7:$B$42,B26,$F$7:$F$42,F26,$J$7:$J$42,"&gt;"&amp;J26)+COUNTIFS($A$7:$A$42,A26,$B$7:$B$42,B26,$F$7:$F$42,F26,$J$7:$J$42,J26,$H$7:$H$42,"&gt;"&amp;H26)</x:f>
        <x:v>1</x:v>
      </x:c>
    </x:row>
    <x:row r="27">
      <x:c r="A27" s="23" t="str">
        <x:v>Low Intermediate</x:v>
      </x:c>
      <x:c r="B27" s="24" t="str">
        <x:v>Rally Rebels</x:v>
      </x:c>
      <x:c r="C27" s="24" t="str">
        <x:v>R3</x:v>
      </x:c>
      <x:c r="D27" s="24" t="str">
        <x:f>IFERROR(VLOOKUP(A27&amp;"|"&amp;C27,'Pair Setup'!$A$7:$F$42,5,FALSE)&amp;IF(VLOOKUP(A27&amp;"|"&amp;C27,'Pair Setup'!$A$7:$F$42,6,FALSE)&lt;&gt;""," / "&amp;VLOOKUP(A27&amp;"|"&amp;C27,'Pair Setup'!$A$7:$F$42,6,FALSE),""),"")</x:f>
      </x:c>
      <x:c r="E27" s="38" t="n">
        <x:f>F27+G27</x:f>
        <x:v>0</x:v>
      </x:c>
      <x:c r="F27" s="38" t="n">
        <x:f>COUNTIFS(Scorekeeper!$E$7:$E$114,A27,Scorekeeper!$N$7:$N$114,C27)</x:f>
        <x:v>0</x:v>
      </x:c>
      <x:c r="G27" s="38" t="n">
        <x:f>COUNTIFS(Scorekeeper!$E$7:$E$114,A27,Scorekeeper!$K$7:$K$114,C27,Scorekeeper!$N$7:$N$114,"O*")</x:f>
        <x:v>0</x:v>
      </x:c>
      <x:c r="H27" s="38" t="n">
        <x:f>SUMIFS(Scorekeeper!$J$7:$J$114,Scorekeeper!$E$7:$E$114,A27,Scorekeeper!$K$7:$K$114,C27)</x:f>
        <x:v>0</x:v>
      </x:c>
      <x:c r="I27" s="38" t="n">
        <x:f>SUMIFS(Scorekeeper!$I$7:$I$114,Scorekeeper!$E$7:$E$114,A27,Scorekeeper!$K$7:$K$114,C27)</x:f>
        <x:v>0</x:v>
      </x:c>
      <x:c r="J27" s="38" t="n">
        <x:f>H27-I27</x:f>
        <x:v>0</x:v>
      </x:c>
      <x:c r="K27" s="56" t="n">
        <x:f>1+COUNTIFS($A$7:$A$42,A27,$B$7:$B$42,B27,$F$7:$F$42,"&gt;"&amp;F27)+COUNTIFS($A$7:$A$42,A27,$B$7:$B$42,B27,$F$7:$F$42,F27,$J$7:$J$42,"&gt;"&amp;J27)+COUNTIFS($A$7:$A$42,A27,$B$7:$B$42,B27,$F$7:$F$42,F27,$J$7:$J$42,J27,$H$7:$H$42,"&gt;"&amp;H27)</x:f>
        <x:v>1</x:v>
      </x:c>
    </x:row>
    <x:row r="28">
      <x:c r="A28" s="23" t="str">
        <x:v>Low Intermediate</x:v>
      </x:c>
      <x:c r="B28" s="24" t="str">
        <x:v>Rally Rebels</x:v>
      </x:c>
      <x:c r="C28" s="24" t="str">
        <x:v>R4</x:v>
      </x:c>
      <x:c r="D28" s="24" t="str">
        <x:f>IFERROR(VLOOKUP(A28&amp;"|"&amp;C28,'Pair Setup'!$A$7:$F$42,5,FALSE)&amp;IF(VLOOKUP(A28&amp;"|"&amp;C28,'Pair Setup'!$A$7:$F$42,6,FALSE)&lt;&gt;""," / "&amp;VLOOKUP(A28&amp;"|"&amp;C28,'Pair Setup'!$A$7:$F$42,6,FALSE),""),"")</x:f>
      </x:c>
      <x:c r="E28" s="38" t="n">
        <x:f>F28+G28</x:f>
        <x:v>0</x:v>
      </x:c>
      <x:c r="F28" s="38" t="n">
        <x:f>COUNTIFS(Scorekeeper!$E$7:$E$114,A28,Scorekeeper!$N$7:$N$114,C28)</x:f>
        <x:v>0</x:v>
      </x:c>
      <x:c r="G28" s="38" t="n">
        <x:f>COUNTIFS(Scorekeeper!$E$7:$E$114,A28,Scorekeeper!$K$7:$K$114,C28,Scorekeeper!$N$7:$N$114,"O*")</x:f>
        <x:v>0</x:v>
      </x:c>
      <x:c r="H28" s="38" t="n">
        <x:f>SUMIFS(Scorekeeper!$J$7:$J$114,Scorekeeper!$E$7:$E$114,A28,Scorekeeper!$K$7:$K$114,C28)</x:f>
        <x:v>0</x:v>
      </x:c>
      <x:c r="I28" s="38" t="n">
        <x:f>SUMIFS(Scorekeeper!$I$7:$I$114,Scorekeeper!$E$7:$E$114,A28,Scorekeeper!$K$7:$K$114,C28)</x:f>
        <x:v>0</x:v>
      </x:c>
      <x:c r="J28" s="38" t="n">
        <x:f>H28-I28</x:f>
        <x:v>0</x:v>
      </x:c>
      <x:c r="K28" s="56" t="n">
        <x:f>1+COUNTIFS($A$7:$A$42,A28,$B$7:$B$42,B28,$F$7:$F$42,"&gt;"&amp;F28)+COUNTIFS($A$7:$A$42,A28,$B$7:$B$42,B28,$F$7:$F$42,F28,$J$7:$J$42,"&gt;"&amp;J28)+COUNTIFS($A$7:$A$42,A28,$B$7:$B$42,B28,$F$7:$F$42,F28,$J$7:$J$42,J28,$H$7:$H$42,"&gt;"&amp;H28)</x:f>
        <x:v>1</x:v>
      </x:c>
    </x:row>
    <x:row r="29">
      <x:c r="A29" s="23" t="str">
        <x:v>Low Intermediate</x:v>
      </x:c>
      <x:c r="B29" s="24" t="str">
        <x:v>Rally Rebels</x:v>
      </x:c>
      <x:c r="C29" s="24" t="str">
        <x:v>R5</x:v>
      </x:c>
      <x:c r="D29" s="24" t="str">
        <x:f>IFERROR(VLOOKUP(A29&amp;"|"&amp;C29,'Pair Setup'!$A$7:$F$42,5,FALSE)&amp;IF(VLOOKUP(A29&amp;"|"&amp;C29,'Pair Setup'!$A$7:$F$42,6,FALSE)&lt;&gt;""," / "&amp;VLOOKUP(A29&amp;"|"&amp;C29,'Pair Setup'!$A$7:$F$42,6,FALSE),""),"")</x:f>
      </x:c>
      <x:c r="E29" s="38" t="n">
        <x:f>F29+G29</x:f>
        <x:v>0</x:v>
      </x:c>
      <x:c r="F29" s="38" t="n">
        <x:f>COUNTIFS(Scorekeeper!$E$7:$E$114,A29,Scorekeeper!$N$7:$N$114,C29)</x:f>
        <x:v>0</x:v>
      </x:c>
      <x:c r="G29" s="38" t="n">
        <x:f>COUNTIFS(Scorekeeper!$E$7:$E$114,A29,Scorekeeper!$K$7:$K$114,C29,Scorekeeper!$N$7:$N$114,"O*")</x:f>
        <x:v>0</x:v>
      </x:c>
      <x:c r="H29" s="38" t="n">
        <x:f>SUMIFS(Scorekeeper!$J$7:$J$114,Scorekeeper!$E$7:$E$114,A29,Scorekeeper!$K$7:$K$114,C29)</x:f>
        <x:v>0</x:v>
      </x:c>
      <x:c r="I29" s="38" t="n">
        <x:f>SUMIFS(Scorekeeper!$I$7:$I$114,Scorekeeper!$E$7:$E$114,A29,Scorekeeper!$K$7:$K$114,C29)</x:f>
        <x:v>0</x:v>
      </x:c>
      <x:c r="J29" s="38" t="n">
        <x:f>H29-I29</x:f>
        <x:v>0</x:v>
      </x:c>
      <x:c r="K29" s="56" t="n">
        <x:f>1+COUNTIFS($A$7:$A$42,A29,$B$7:$B$42,B29,$F$7:$F$42,"&gt;"&amp;F29)+COUNTIFS($A$7:$A$42,A29,$B$7:$B$42,B29,$F$7:$F$42,F29,$J$7:$J$42,"&gt;"&amp;J29)+COUNTIFS($A$7:$A$42,A29,$B$7:$B$42,B29,$F$7:$F$42,F29,$J$7:$J$42,J29,$H$7:$H$42,"&gt;"&amp;H29)</x:f>
        <x:v>1</x:v>
      </x:c>
    </x:row>
    <x:row r="30">
      <x:c r="A30" s="23" t="str">
        <x:v>Low Intermediate</x:v>
      </x:c>
      <x:c r="B30" s="24" t="str">
        <x:v>Rally Rebels</x:v>
      </x:c>
      <x:c r="C30" s="24" t="str">
        <x:v>R6</x:v>
      </x:c>
      <x:c r="D30" s="24" t="str">
        <x:f>IFERROR(VLOOKUP(A30&amp;"|"&amp;C30,'Pair Setup'!$A$7:$F$42,5,FALSE)&amp;IF(VLOOKUP(A30&amp;"|"&amp;C30,'Pair Setup'!$A$7:$F$42,6,FALSE)&lt;&gt;""," / "&amp;VLOOKUP(A30&amp;"|"&amp;C30,'Pair Setup'!$A$7:$F$42,6,FALSE),""),"")</x:f>
      </x:c>
      <x:c r="E30" s="38" t="n">
        <x:f>F30+G30</x:f>
        <x:v>0</x:v>
      </x:c>
      <x:c r="F30" s="38" t="n">
        <x:f>COUNTIFS(Scorekeeper!$E$7:$E$114,A30,Scorekeeper!$N$7:$N$114,C30)</x:f>
        <x:v>0</x:v>
      </x:c>
      <x:c r="G30" s="38" t="n">
        <x:f>COUNTIFS(Scorekeeper!$E$7:$E$114,A30,Scorekeeper!$K$7:$K$114,C30,Scorekeeper!$N$7:$N$114,"O*")</x:f>
        <x:v>0</x:v>
      </x:c>
      <x:c r="H30" s="38" t="n">
        <x:f>SUMIFS(Scorekeeper!$J$7:$J$114,Scorekeeper!$E$7:$E$114,A30,Scorekeeper!$K$7:$K$114,C30)</x:f>
        <x:v>0</x:v>
      </x:c>
      <x:c r="I30" s="38" t="n">
        <x:f>SUMIFS(Scorekeeper!$I$7:$I$114,Scorekeeper!$E$7:$E$114,A30,Scorekeeper!$K$7:$K$114,C30)</x:f>
        <x:v>0</x:v>
      </x:c>
      <x:c r="J30" s="38" t="n">
        <x:f>H30-I30</x:f>
        <x:v>0</x:v>
      </x:c>
      <x:c r="K30" s="56" t="n">
        <x:f>1+COUNTIFS($A$7:$A$42,A30,$B$7:$B$42,B30,$F$7:$F$42,"&gt;"&amp;F30)+COUNTIFS($A$7:$A$42,A30,$B$7:$B$42,B30,$F$7:$F$42,F30,$J$7:$J$42,"&gt;"&amp;J30)+COUNTIFS($A$7:$A$42,A30,$B$7:$B$42,B30,$F$7:$F$42,F30,$J$7:$J$42,J30,$H$7:$H$42,"&gt;"&amp;H30)</x:f>
        <x:v>1</x:v>
      </x:c>
    </x:row>
    <x:row r="31">
      <x:c r="A31" s="23" t="str">
        <x:v>High Intermediate</x:v>
      </x:c>
      <x:c r="B31" s="24" t="str">
        <x:v>OCPC</x:v>
      </x:c>
      <x:c r="C31" s="24" t="str">
        <x:v>O1</x:v>
      </x:c>
      <x:c r="D31" s="24" t="str">
        <x:f>IFERROR(VLOOKUP(A31&amp;"|"&amp;C31,'Pair Setup'!$A$7:$F$42,5,FALSE)&amp;IF(VLOOKUP(A31&amp;"|"&amp;C31,'Pair Setup'!$A$7:$F$42,6,FALSE)&lt;&gt;""," / "&amp;VLOOKUP(A31&amp;"|"&amp;C31,'Pair Setup'!$A$7:$F$42,6,FALSE),""),"")</x:f>
      </x:c>
      <x:c r="E31" s="38" t="n">
        <x:f>F31+G31</x:f>
        <x:v>0</x:v>
      </x:c>
      <x:c r="F31" s="38" t="n">
        <x:f>COUNTIFS(Scorekeeper!$E$7:$E$114,A31,Scorekeeper!$N$7:$N$114,C31)</x:f>
        <x:v>0</x:v>
      </x:c>
      <x:c r="G31" s="38" t="n">
        <x:f>COUNTIFS(Scorekeeper!$E$7:$E$114,A31,Scorekeeper!$F$7:$F$114,C31,Scorekeeper!$N$7:$N$114,"R*")</x:f>
        <x:v>0</x:v>
      </x:c>
      <x:c r="H31" s="38" t="n">
        <x:f>SUMIFS(Scorekeeper!$I$7:$I$114,Scorekeeper!$E$7:$E$114,A31,Scorekeeper!$F$7:$F$114,C31)</x:f>
        <x:v>0</x:v>
      </x:c>
      <x:c r="I31" s="38" t="n">
        <x:f>SUMIFS(Scorekeeper!$J$7:$J$114,Scorekeeper!$E$7:$E$114,A31,Scorekeeper!$F$7:$F$114,C31)</x:f>
        <x:v>0</x:v>
      </x:c>
      <x:c r="J31" s="38" t="n">
        <x:f>H31-I31</x:f>
        <x:v>0</x:v>
      </x:c>
      <x:c r="K31" s="56" t="n">
        <x:f>1+COUNTIFS($A$7:$A$42,A31,$B$7:$B$42,B31,$F$7:$F$42,"&gt;"&amp;F31)+COUNTIFS($A$7:$A$42,A31,$B$7:$B$42,B31,$F$7:$F$42,F31,$J$7:$J$42,"&gt;"&amp;J31)+COUNTIFS($A$7:$A$42,A31,$B$7:$B$42,B31,$F$7:$F$42,F31,$J$7:$J$42,J31,$H$7:$H$42,"&gt;"&amp;H31)</x:f>
        <x:v>1</x:v>
      </x:c>
    </x:row>
    <x:row r="32">
      <x:c r="A32" s="23" t="str">
        <x:v>High Intermediate</x:v>
      </x:c>
      <x:c r="B32" s="24" t="str">
        <x:v>OCPC</x:v>
      </x:c>
      <x:c r="C32" s="24" t="str">
        <x:v>O2</x:v>
      </x:c>
      <x:c r="D32" s="24" t="str">
        <x:f>IFERROR(VLOOKUP(A32&amp;"|"&amp;C32,'Pair Setup'!$A$7:$F$42,5,FALSE)&amp;IF(VLOOKUP(A32&amp;"|"&amp;C32,'Pair Setup'!$A$7:$F$42,6,FALSE)&lt;&gt;""," / "&amp;VLOOKUP(A32&amp;"|"&amp;C32,'Pair Setup'!$A$7:$F$42,6,FALSE),""),"")</x:f>
      </x:c>
      <x:c r="E32" s="38" t="n">
        <x:f>F32+G32</x:f>
        <x:v>0</x:v>
      </x:c>
      <x:c r="F32" s="38" t="n">
        <x:f>COUNTIFS(Scorekeeper!$E$7:$E$114,A32,Scorekeeper!$N$7:$N$114,C32)</x:f>
        <x:v>0</x:v>
      </x:c>
      <x:c r="G32" s="38" t="n">
        <x:f>COUNTIFS(Scorekeeper!$E$7:$E$114,A32,Scorekeeper!$F$7:$F$114,C32,Scorekeeper!$N$7:$N$114,"R*")</x:f>
        <x:v>0</x:v>
      </x:c>
      <x:c r="H32" s="38" t="n">
        <x:f>SUMIFS(Scorekeeper!$I$7:$I$114,Scorekeeper!$E$7:$E$114,A32,Scorekeeper!$F$7:$F$114,C32)</x:f>
        <x:v>0</x:v>
      </x:c>
      <x:c r="I32" s="38" t="n">
        <x:f>SUMIFS(Scorekeeper!$J$7:$J$114,Scorekeeper!$E$7:$E$114,A32,Scorekeeper!$F$7:$F$114,C32)</x:f>
        <x:v>0</x:v>
      </x:c>
      <x:c r="J32" s="38" t="n">
        <x:f>H32-I32</x:f>
        <x:v>0</x:v>
      </x:c>
      <x:c r="K32" s="56" t="n">
        <x:f>1+COUNTIFS($A$7:$A$42,A32,$B$7:$B$42,B32,$F$7:$F$42,"&gt;"&amp;F32)+COUNTIFS($A$7:$A$42,A32,$B$7:$B$42,B32,$F$7:$F$42,F32,$J$7:$J$42,"&gt;"&amp;J32)+COUNTIFS($A$7:$A$42,A32,$B$7:$B$42,B32,$F$7:$F$42,F32,$J$7:$J$42,J32,$H$7:$H$42,"&gt;"&amp;H32)</x:f>
        <x:v>1</x:v>
      </x:c>
    </x:row>
    <x:row r="33">
      <x:c r="A33" s="23" t="str">
        <x:v>High Intermediate</x:v>
      </x:c>
      <x:c r="B33" s="24" t="str">
        <x:v>OCPC</x:v>
      </x:c>
      <x:c r="C33" s="24" t="str">
        <x:v>O3</x:v>
      </x:c>
      <x:c r="D33" s="24" t="str">
        <x:f>IFERROR(VLOOKUP(A33&amp;"|"&amp;C33,'Pair Setup'!$A$7:$F$42,5,FALSE)&amp;IF(VLOOKUP(A33&amp;"|"&amp;C33,'Pair Setup'!$A$7:$F$42,6,FALSE)&lt;&gt;""," / "&amp;VLOOKUP(A33&amp;"|"&amp;C33,'Pair Setup'!$A$7:$F$42,6,FALSE),""),"")</x:f>
      </x:c>
      <x:c r="E33" s="38" t="n">
        <x:f>F33+G33</x:f>
        <x:v>0</x:v>
      </x:c>
      <x:c r="F33" s="38" t="n">
        <x:f>COUNTIFS(Scorekeeper!$E$7:$E$114,A33,Scorekeeper!$N$7:$N$114,C33)</x:f>
        <x:v>0</x:v>
      </x:c>
      <x:c r="G33" s="38" t="n">
        <x:f>COUNTIFS(Scorekeeper!$E$7:$E$114,A33,Scorekeeper!$F$7:$F$114,C33,Scorekeeper!$N$7:$N$114,"R*")</x:f>
        <x:v>0</x:v>
      </x:c>
      <x:c r="H33" s="38" t="n">
        <x:f>SUMIFS(Scorekeeper!$I$7:$I$114,Scorekeeper!$E$7:$E$114,A33,Scorekeeper!$F$7:$F$114,C33)</x:f>
        <x:v>0</x:v>
      </x:c>
      <x:c r="I33" s="38" t="n">
        <x:f>SUMIFS(Scorekeeper!$J$7:$J$114,Scorekeeper!$E$7:$E$114,A33,Scorekeeper!$F$7:$F$114,C33)</x:f>
        <x:v>0</x:v>
      </x:c>
      <x:c r="J33" s="38" t="n">
        <x:f>H33-I33</x:f>
        <x:v>0</x:v>
      </x:c>
      <x:c r="K33" s="56" t="n">
        <x:f>1+COUNTIFS($A$7:$A$42,A33,$B$7:$B$42,B33,$F$7:$F$42,"&gt;"&amp;F33)+COUNTIFS($A$7:$A$42,A33,$B$7:$B$42,B33,$F$7:$F$42,F33,$J$7:$J$42,"&gt;"&amp;J33)+COUNTIFS($A$7:$A$42,A33,$B$7:$B$42,B33,$F$7:$F$42,F33,$J$7:$J$42,J33,$H$7:$H$42,"&gt;"&amp;H33)</x:f>
        <x:v>1</x:v>
      </x:c>
    </x:row>
    <x:row r="34">
      <x:c r="A34" s="23" t="str">
        <x:v>High Intermediate</x:v>
      </x:c>
      <x:c r="B34" s="24" t="str">
        <x:v>OCPC</x:v>
      </x:c>
      <x:c r="C34" s="24" t="str">
        <x:v>O4</x:v>
      </x:c>
      <x:c r="D34" s="24" t="str">
        <x:f>IFERROR(VLOOKUP(A34&amp;"|"&amp;C34,'Pair Setup'!$A$7:$F$42,5,FALSE)&amp;IF(VLOOKUP(A34&amp;"|"&amp;C34,'Pair Setup'!$A$7:$F$42,6,FALSE)&lt;&gt;""," / "&amp;VLOOKUP(A34&amp;"|"&amp;C34,'Pair Setup'!$A$7:$F$42,6,FALSE),""),"")</x:f>
      </x:c>
      <x:c r="E34" s="38" t="n">
        <x:f>F34+G34</x:f>
        <x:v>0</x:v>
      </x:c>
      <x:c r="F34" s="38" t="n">
        <x:f>COUNTIFS(Scorekeeper!$E$7:$E$114,A34,Scorekeeper!$N$7:$N$114,C34)</x:f>
        <x:v>0</x:v>
      </x:c>
      <x:c r="G34" s="38" t="n">
        <x:f>COUNTIFS(Scorekeeper!$E$7:$E$114,A34,Scorekeeper!$F$7:$F$114,C34,Scorekeeper!$N$7:$N$114,"R*")</x:f>
        <x:v>0</x:v>
      </x:c>
      <x:c r="H34" s="38" t="n">
        <x:f>SUMIFS(Scorekeeper!$I$7:$I$114,Scorekeeper!$E$7:$E$114,A34,Scorekeeper!$F$7:$F$114,C34)</x:f>
        <x:v>0</x:v>
      </x:c>
      <x:c r="I34" s="38" t="n">
        <x:f>SUMIFS(Scorekeeper!$J$7:$J$114,Scorekeeper!$E$7:$E$114,A34,Scorekeeper!$F$7:$F$114,C34)</x:f>
        <x:v>0</x:v>
      </x:c>
      <x:c r="J34" s="38" t="n">
        <x:f>H34-I34</x:f>
        <x:v>0</x:v>
      </x:c>
      <x:c r="K34" s="56" t="n">
        <x:f>1+COUNTIFS($A$7:$A$42,A34,$B$7:$B$42,B34,$F$7:$F$42,"&gt;"&amp;F34)+COUNTIFS($A$7:$A$42,A34,$B$7:$B$42,B34,$F$7:$F$42,F34,$J$7:$J$42,"&gt;"&amp;J34)+COUNTIFS($A$7:$A$42,A34,$B$7:$B$42,B34,$F$7:$F$42,F34,$J$7:$J$42,J34,$H$7:$H$42,"&gt;"&amp;H34)</x:f>
        <x:v>1</x:v>
      </x:c>
    </x:row>
    <x:row r="35">
      <x:c r="A35" s="23" t="str">
        <x:v>High Intermediate</x:v>
      </x:c>
      <x:c r="B35" s="24" t="str">
        <x:v>OCPC</x:v>
      </x:c>
      <x:c r="C35" s="24" t="str">
        <x:v>O5</x:v>
      </x:c>
      <x:c r="D35" s="24" t="str">
        <x:f>IFERROR(VLOOKUP(A35&amp;"|"&amp;C35,'Pair Setup'!$A$7:$F$42,5,FALSE)&amp;IF(VLOOKUP(A35&amp;"|"&amp;C35,'Pair Setup'!$A$7:$F$42,6,FALSE)&lt;&gt;""," / "&amp;VLOOKUP(A35&amp;"|"&amp;C35,'Pair Setup'!$A$7:$F$42,6,FALSE),""),"")</x:f>
      </x:c>
      <x:c r="E35" s="38" t="n">
        <x:f>F35+G35</x:f>
        <x:v>0</x:v>
      </x:c>
      <x:c r="F35" s="38" t="n">
        <x:f>COUNTIFS(Scorekeeper!$E$7:$E$114,A35,Scorekeeper!$N$7:$N$114,C35)</x:f>
        <x:v>0</x:v>
      </x:c>
      <x:c r="G35" s="38" t="n">
        <x:f>COUNTIFS(Scorekeeper!$E$7:$E$114,A35,Scorekeeper!$F$7:$F$114,C35,Scorekeeper!$N$7:$N$114,"R*")</x:f>
        <x:v>0</x:v>
      </x:c>
      <x:c r="H35" s="38" t="n">
        <x:f>SUMIFS(Scorekeeper!$I$7:$I$114,Scorekeeper!$E$7:$E$114,A35,Scorekeeper!$F$7:$F$114,C35)</x:f>
        <x:v>0</x:v>
      </x:c>
      <x:c r="I35" s="38" t="n">
        <x:f>SUMIFS(Scorekeeper!$J$7:$J$114,Scorekeeper!$E$7:$E$114,A35,Scorekeeper!$F$7:$F$114,C35)</x:f>
        <x:v>0</x:v>
      </x:c>
      <x:c r="J35" s="38" t="n">
        <x:f>H35-I35</x:f>
        <x:v>0</x:v>
      </x:c>
      <x:c r="K35" s="56" t="n">
        <x:f>1+COUNTIFS($A$7:$A$42,A35,$B$7:$B$42,B35,$F$7:$F$42,"&gt;"&amp;F35)+COUNTIFS($A$7:$A$42,A35,$B$7:$B$42,B35,$F$7:$F$42,F35,$J$7:$J$42,"&gt;"&amp;J35)+COUNTIFS($A$7:$A$42,A35,$B$7:$B$42,B35,$F$7:$F$42,F35,$J$7:$J$42,J35,$H$7:$H$42,"&gt;"&amp;H35)</x:f>
        <x:v>1</x:v>
      </x:c>
    </x:row>
    <x:row r="36">
      <x:c r="A36" s="23" t="str">
        <x:v>High Intermediate</x:v>
      </x:c>
      <x:c r="B36" s="24" t="str">
        <x:v>OCPC</x:v>
      </x:c>
      <x:c r="C36" s="24" t="str">
        <x:v>O6</x:v>
      </x:c>
      <x:c r="D36" s="24" t="str">
        <x:f>IFERROR(VLOOKUP(A36&amp;"|"&amp;C36,'Pair Setup'!$A$7:$F$42,5,FALSE)&amp;IF(VLOOKUP(A36&amp;"|"&amp;C36,'Pair Setup'!$A$7:$F$42,6,FALSE)&lt;&gt;""," / "&amp;VLOOKUP(A36&amp;"|"&amp;C36,'Pair Setup'!$A$7:$F$42,6,FALSE),""),"")</x:f>
      </x:c>
      <x:c r="E36" s="38" t="n">
        <x:f>F36+G36</x:f>
        <x:v>0</x:v>
      </x:c>
      <x:c r="F36" s="38" t="n">
        <x:f>COUNTIFS(Scorekeeper!$E$7:$E$114,A36,Scorekeeper!$N$7:$N$114,C36)</x:f>
        <x:v>0</x:v>
      </x:c>
      <x:c r="G36" s="38" t="n">
        <x:f>COUNTIFS(Scorekeeper!$E$7:$E$114,A36,Scorekeeper!$F$7:$F$114,C36,Scorekeeper!$N$7:$N$114,"R*")</x:f>
        <x:v>0</x:v>
      </x:c>
      <x:c r="H36" s="38" t="n">
        <x:f>SUMIFS(Scorekeeper!$I$7:$I$114,Scorekeeper!$E$7:$E$114,A36,Scorekeeper!$F$7:$F$114,C36)</x:f>
        <x:v>0</x:v>
      </x:c>
      <x:c r="I36" s="38" t="n">
        <x:f>SUMIFS(Scorekeeper!$J$7:$J$114,Scorekeeper!$E$7:$E$114,A36,Scorekeeper!$F$7:$F$114,C36)</x:f>
        <x:v>0</x:v>
      </x:c>
      <x:c r="J36" s="38" t="n">
        <x:f>H36-I36</x:f>
        <x:v>0</x:v>
      </x:c>
      <x:c r="K36" s="56" t="n">
        <x:f>1+COUNTIFS($A$7:$A$42,A36,$B$7:$B$42,B36,$F$7:$F$42,"&gt;"&amp;F36)+COUNTIFS($A$7:$A$42,A36,$B$7:$B$42,B36,$F$7:$F$42,F36,$J$7:$J$42,"&gt;"&amp;J36)+COUNTIFS($A$7:$A$42,A36,$B$7:$B$42,B36,$F$7:$F$42,F36,$J$7:$J$42,J36,$H$7:$H$42,"&gt;"&amp;H36)</x:f>
        <x:v>1</x:v>
      </x:c>
    </x:row>
    <x:row r="37">
      <x:c r="A37" s="23" t="str">
        <x:v>High Intermediate</x:v>
      </x:c>
      <x:c r="B37" s="24" t="str">
        <x:v>Rally Rebels</x:v>
      </x:c>
      <x:c r="C37" s="24" t="str">
        <x:v>R1</x:v>
      </x:c>
      <x:c r="D37" s="24" t="str">
        <x:f>IFERROR(VLOOKUP(A37&amp;"|"&amp;C37,'Pair Setup'!$A$7:$F$42,5,FALSE)&amp;IF(VLOOKUP(A37&amp;"|"&amp;C37,'Pair Setup'!$A$7:$F$42,6,FALSE)&lt;&gt;""," / "&amp;VLOOKUP(A37&amp;"|"&amp;C37,'Pair Setup'!$A$7:$F$42,6,FALSE),""),"")</x:f>
      </x:c>
      <x:c r="E37" s="38" t="n">
        <x:f>F37+G37</x:f>
        <x:v>0</x:v>
      </x:c>
      <x:c r="F37" s="38" t="n">
        <x:f>COUNTIFS(Scorekeeper!$E$7:$E$114,A37,Scorekeeper!$N$7:$N$114,C37)</x:f>
        <x:v>0</x:v>
      </x:c>
      <x:c r="G37" s="38" t="n">
        <x:f>COUNTIFS(Scorekeeper!$E$7:$E$114,A37,Scorekeeper!$K$7:$K$114,C37,Scorekeeper!$N$7:$N$114,"O*")</x:f>
        <x:v>0</x:v>
      </x:c>
      <x:c r="H37" s="38" t="n">
        <x:f>SUMIFS(Scorekeeper!$J$7:$J$114,Scorekeeper!$E$7:$E$114,A37,Scorekeeper!$K$7:$K$114,C37)</x:f>
        <x:v>0</x:v>
      </x:c>
      <x:c r="I37" s="38" t="n">
        <x:f>SUMIFS(Scorekeeper!$I$7:$I$114,Scorekeeper!$E$7:$E$114,A37,Scorekeeper!$K$7:$K$114,C37)</x:f>
        <x:v>0</x:v>
      </x:c>
      <x:c r="J37" s="38" t="n">
        <x:f>H37-I37</x:f>
        <x:v>0</x:v>
      </x:c>
      <x:c r="K37" s="56" t="n">
        <x:f>1+COUNTIFS($A$7:$A$42,A37,$B$7:$B$42,B37,$F$7:$F$42,"&gt;"&amp;F37)+COUNTIFS($A$7:$A$42,A37,$B$7:$B$42,B37,$F$7:$F$42,F37,$J$7:$J$42,"&gt;"&amp;J37)+COUNTIFS($A$7:$A$42,A37,$B$7:$B$42,B37,$F$7:$F$42,F37,$J$7:$J$42,J37,$H$7:$H$42,"&gt;"&amp;H37)</x:f>
        <x:v>1</x:v>
      </x:c>
    </x:row>
    <x:row r="38">
      <x:c r="A38" s="23" t="str">
        <x:v>High Intermediate</x:v>
      </x:c>
      <x:c r="B38" s="24" t="str">
        <x:v>Rally Rebels</x:v>
      </x:c>
      <x:c r="C38" s="24" t="str">
        <x:v>R2</x:v>
      </x:c>
      <x:c r="D38" s="24" t="str">
        <x:f>IFERROR(VLOOKUP(A38&amp;"|"&amp;C38,'Pair Setup'!$A$7:$F$42,5,FALSE)&amp;IF(VLOOKUP(A38&amp;"|"&amp;C38,'Pair Setup'!$A$7:$F$42,6,FALSE)&lt;&gt;""," / "&amp;VLOOKUP(A38&amp;"|"&amp;C38,'Pair Setup'!$A$7:$F$42,6,FALSE),""),"")</x:f>
      </x:c>
      <x:c r="E38" s="38" t="n">
        <x:f>F38+G38</x:f>
        <x:v>0</x:v>
      </x:c>
      <x:c r="F38" s="38" t="n">
        <x:f>COUNTIFS(Scorekeeper!$E$7:$E$114,A38,Scorekeeper!$N$7:$N$114,C38)</x:f>
        <x:v>0</x:v>
      </x:c>
      <x:c r="G38" s="38" t="n">
        <x:f>COUNTIFS(Scorekeeper!$E$7:$E$114,A38,Scorekeeper!$K$7:$K$114,C38,Scorekeeper!$N$7:$N$114,"O*")</x:f>
        <x:v>0</x:v>
      </x:c>
      <x:c r="H38" s="38" t="n">
        <x:f>SUMIFS(Scorekeeper!$J$7:$J$114,Scorekeeper!$E$7:$E$114,A38,Scorekeeper!$K$7:$K$114,C38)</x:f>
        <x:v>0</x:v>
      </x:c>
      <x:c r="I38" s="38" t="n">
        <x:f>SUMIFS(Scorekeeper!$I$7:$I$114,Scorekeeper!$E$7:$E$114,A38,Scorekeeper!$K$7:$K$114,C38)</x:f>
        <x:v>0</x:v>
      </x:c>
      <x:c r="J38" s="38" t="n">
        <x:f>H38-I38</x:f>
        <x:v>0</x:v>
      </x:c>
      <x:c r="K38" s="56" t="n">
        <x:f>1+COUNTIFS($A$7:$A$42,A38,$B$7:$B$42,B38,$F$7:$F$42,"&gt;"&amp;F38)+COUNTIFS($A$7:$A$42,A38,$B$7:$B$42,B38,$F$7:$F$42,F38,$J$7:$J$42,"&gt;"&amp;J38)+COUNTIFS($A$7:$A$42,A38,$B$7:$B$42,B38,$F$7:$F$42,F38,$J$7:$J$42,J38,$H$7:$H$42,"&gt;"&amp;H38)</x:f>
        <x:v>1</x:v>
      </x:c>
    </x:row>
    <x:row r="39">
      <x:c r="A39" s="23" t="str">
        <x:v>High Intermediate</x:v>
      </x:c>
      <x:c r="B39" s="24" t="str">
        <x:v>Rally Rebels</x:v>
      </x:c>
      <x:c r="C39" s="24" t="str">
        <x:v>R3</x:v>
      </x:c>
      <x:c r="D39" s="24" t="str">
        <x:f>IFERROR(VLOOKUP(A39&amp;"|"&amp;C39,'Pair Setup'!$A$7:$F$42,5,FALSE)&amp;IF(VLOOKUP(A39&amp;"|"&amp;C39,'Pair Setup'!$A$7:$F$42,6,FALSE)&lt;&gt;""," / "&amp;VLOOKUP(A39&amp;"|"&amp;C39,'Pair Setup'!$A$7:$F$42,6,FALSE),""),"")</x:f>
      </x:c>
      <x:c r="E39" s="38" t="n">
        <x:f>F39+G39</x:f>
        <x:v>0</x:v>
      </x:c>
      <x:c r="F39" s="38" t="n">
        <x:f>COUNTIFS(Scorekeeper!$E$7:$E$114,A39,Scorekeeper!$N$7:$N$114,C39)</x:f>
        <x:v>0</x:v>
      </x:c>
      <x:c r="G39" s="38" t="n">
        <x:f>COUNTIFS(Scorekeeper!$E$7:$E$114,A39,Scorekeeper!$K$7:$K$114,C39,Scorekeeper!$N$7:$N$114,"O*")</x:f>
        <x:v>0</x:v>
      </x:c>
      <x:c r="H39" s="38" t="n">
        <x:f>SUMIFS(Scorekeeper!$J$7:$J$114,Scorekeeper!$E$7:$E$114,A39,Scorekeeper!$K$7:$K$114,C39)</x:f>
        <x:v>0</x:v>
      </x:c>
      <x:c r="I39" s="38" t="n">
        <x:f>SUMIFS(Scorekeeper!$I$7:$I$114,Scorekeeper!$E$7:$E$114,A39,Scorekeeper!$K$7:$K$114,C39)</x:f>
        <x:v>0</x:v>
      </x:c>
      <x:c r="J39" s="38" t="n">
        <x:f>H39-I39</x:f>
        <x:v>0</x:v>
      </x:c>
      <x:c r="K39" s="56" t="n">
        <x:f>1+COUNTIFS($A$7:$A$42,A39,$B$7:$B$42,B39,$F$7:$F$42,"&gt;"&amp;F39)+COUNTIFS($A$7:$A$42,A39,$B$7:$B$42,B39,$F$7:$F$42,F39,$J$7:$J$42,"&gt;"&amp;J39)+COUNTIFS($A$7:$A$42,A39,$B$7:$B$42,B39,$F$7:$F$42,F39,$J$7:$J$42,J39,$H$7:$H$42,"&gt;"&amp;H39)</x:f>
        <x:v>1</x:v>
      </x:c>
    </x:row>
    <x:row r="40">
      <x:c r="A40" s="23" t="str">
        <x:v>High Intermediate</x:v>
      </x:c>
      <x:c r="B40" s="24" t="str">
        <x:v>Rally Rebels</x:v>
      </x:c>
      <x:c r="C40" s="24" t="str">
        <x:v>R4</x:v>
      </x:c>
      <x:c r="D40" s="24" t="str">
        <x:f>IFERROR(VLOOKUP(A40&amp;"|"&amp;C40,'Pair Setup'!$A$7:$F$42,5,FALSE)&amp;IF(VLOOKUP(A40&amp;"|"&amp;C40,'Pair Setup'!$A$7:$F$42,6,FALSE)&lt;&gt;""," / "&amp;VLOOKUP(A40&amp;"|"&amp;C40,'Pair Setup'!$A$7:$F$42,6,FALSE),""),"")</x:f>
      </x:c>
      <x:c r="E40" s="38" t="n">
        <x:f>F40+G40</x:f>
        <x:v>0</x:v>
      </x:c>
      <x:c r="F40" s="38" t="n">
        <x:f>COUNTIFS(Scorekeeper!$E$7:$E$114,A40,Scorekeeper!$N$7:$N$114,C40)</x:f>
        <x:v>0</x:v>
      </x:c>
      <x:c r="G40" s="38" t="n">
        <x:f>COUNTIFS(Scorekeeper!$E$7:$E$114,A40,Scorekeeper!$K$7:$K$114,C40,Scorekeeper!$N$7:$N$114,"O*")</x:f>
        <x:v>0</x:v>
      </x:c>
      <x:c r="H40" s="38" t="n">
        <x:f>SUMIFS(Scorekeeper!$J$7:$J$114,Scorekeeper!$E$7:$E$114,A40,Scorekeeper!$K$7:$K$114,C40)</x:f>
        <x:v>0</x:v>
      </x:c>
      <x:c r="I40" s="38" t="n">
        <x:f>SUMIFS(Scorekeeper!$I$7:$I$114,Scorekeeper!$E$7:$E$114,A40,Scorekeeper!$K$7:$K$114,C40)</x:f>
        <x:v>0</x:v>
      </x:c>
      <x:c r="J40" s="38" t="n">
        <x:f>H40-I40</x:f>
        <x:v>0</x:v>
      </x:c>
      <x:c r="K40" s="56" t="n">
        <x:f>1+COUNTIFS($A$7:$A$42,A40,$B$7:$B$42,B40,$F$7:$F$42,"&gt;"&amp;F40)+COUNTIFS($A$7:$A$42,A40,$B$7:$B$42,B40,$F$7:$F$42,F40,$J$7:$J$42,"&gt;"&amp;J40)+COUNTIFS($A$7:$A$42,A40,$B$7:$B$42,B40,$F$7:$F$42,F40,$J$7:$J$42,J40,$H$7:$H$42,"&gt;"&amp;H40)</x:f>
        <x:v>1</x:v>
      </x:c>
    </x:row>
    <x:row r="41">
      <x:c r="A41" s="23" t="str">
        <x:v>High Intermediate</x:v>
      </x:c>
      <x:c r="B41" s="24" t="str">
        <x:v>Rally Rebels</x:v>
      </x:c>
      <x:c r="C41" s="24" t="str">
        <x:v>R5</x:v>
      </x:c>
      <x:c r="D41" s="24" t="str">
        <x:f>IFERROR(VLOOKUP(A41&amp;"|"&amp;C41,'Pair Setup'!$A$7:$F$42,5,FALSE)&amp;IF(VLOOKUP(A41&amp;"|"&amp;C41,'Pair Setup'!$A$7:$F$42,6,FALSE)&lt;&gt;""," / "&amp;VLOOKUP(A41&amp;"|"&amp;C41,'Pair Setup'!$A$7:$F$42,6,FALSE),""),"")</x:f>
      </x:c>
      <x:c r="E41" s="38" t="n">
        <x:f>F41+G41</x:f>
        <x:v>0</x:v>
      </x:c>
      <x:c r="F41" s="38" t="n">
        <x:f>COUNTIFS(Scorekeeper!$E$7:$E$114,A41,Scorekeeper!$N$7:$N$114,C41)</x:f>
        <x:v>0</x:v>
      </x:c>
      <x:c r="G41" s="38" t="n">
        <x:f>COUNTIFS(Scorekeeper!$E$7:$E$114,A41,Scorekeeper!$K$7:$K$114,C41,Scorekeeper!$N$7:$N$114,"O*")</x:f>
        <x:v>0</x:v>
      </x:c>
      <x:c r="H41" s="38" t="n">
        <x:f>SUMIFS(Scorekeeper!$J$7:$J$114,Scorekeeper!$E$7:$E$114,A41,Scorekeeper!$K$7:$K$114,C41)</x:f>
        <x:v>0</x:v>
      </x:c>
      <x:c r="I41" s="38" t="n">
        <x:f>SUMIFS(Scorekeeper!$I$7:$I$114,Scorekeeper!$E$7:$E$114,A41,Scorekeeper!$K$7:$K$114,C41)</x:f>
        <x:v>0</x:v>
      </x:c>
      <x:c r="J41" s="38" t="n">
        <x:f>H41-I41</x:f>
        <x:v>0</x:v>
      </x:c>
      <x:c r="K41" s="56" t="n">
        <x:f>1+COUNTIFS($A$7:$A$42,A41,$B$7:$B$42,B41,$F$7:$F$42,"&gt;"&amp;F41)+COUNTIFS($A$7:$A$42,A41,$B$7:$B$42,B41,$F$7:$F$42,F41,$J$7:$J$42,"&gt;"&amp;J41)+COUNTIFS($A$7:$A$42,A41,$B$7:$B$42,B41,$F$7:$F$42,F41,$J$7:$J$42,J41,$H$7:$H$42,"&gt;"&amp;H41)</x:f>
        <x:v>1</x:v>
      </x:c>
    </x:row>
    <x:row r="42">
      <x:c r="A42" s="26" t="str">
        <x:v>High Intermediate</x:v>
      </x:c>
      <x:c r="B42" s="27" t="str">
        <x:v>Rally Rebels</x:v>
      </x:c>
      <x:c r="C42" s="27" t="str">
        <x:v>R6</x:v>
      </x:c>
      <x:c r="D42" s="27" t="str">
        <x:f>IFERROR(VLOOKUP(A42&amp;"|"&amp;C42,'Pair Setup'!$A$7:$F$42,5,FALSE)&amp;IF(VLOOKUP(A42&amp;"|"&amp;C42,'Pair Setup'!$A$7:$F$42,6,FALSE)&lt;&gt;""," / "&amp;VLOOKUP(A42&amp;"|"&amp;C42,'Pair Setup'!$A$7:$F$42,6,FALSE),""),"")</x:f>
      </x:c>
      <x:c r="E42" s="40" t="n">
        <x:f>F42+G42</x:f>
        <x:v>0</x:v>
      </x:c>
      <x:c r="F42" s="40" t="n">
        <x:f>COUNTIFS(Scorekeeper!$E$7:$E$114,A42,Scorekeeper!$N$7:$N$114,C42)</x:f>
        <x:v>0</x:v>
      </x:c>
      <x:c r="G42" s="40" t="n">
        <x:f>COUNTIFS(Scorekeeper!$E$7:$E$114,A42,Scorekeeper!$K$7:$K$114,C42,Scorekeeper!$N$7:$N$114,"O*")</x:f>
        <x:v>0</x:v>
      </x:c>
      <x:c r="H42" s="40" t="n">
        <x:f>SUMIFS(Scorekeeper!$J$7:$J$114,Scorekeeper!$E$7:$E$114,A42,Scorekeeper!$K$7:$K$114,C42)</x:f>
        <x:v>0</x:v>
      </x:c>
      <x:c r="I42" s="40" t="n">
        <x:f>SUMIFS(Scorekeeper!$I$7:$I$114,Scorekeeper!$E$7:$E$114,A42,Scorekeeper!$K$7:$K$114,C42)</x:f>
        <x:v>0</x:v>
      </x:c>
      <x:c r="J42" s="40" t="n">
        <x:f>H42-I42</x:f>
        <x:v>0</x:v>
      </x:c>
      <x:c r="K42" s="57" t="n">
        <x:f>1+COUNTIFS($A$7:$A$42,A42,$B$7:$B$42,B42,$F$7:$F$42,"&gt;"&amp;F42)+COUNTIFS($A$7:$A$42,A42,$B$7:$B$42,B42,$F$7:$F$42,F42,$J$7:$J$42,"&gt;"&amp;J42)+COUNTIFS($A$7:$A$42,A42,$B$7:$B$42,B42,$F$7:$F$42,F42,$J$7:$J$42,J42,$H$7:$H$42,"&gt;"&amp;H42)</x:f>
        <x:v>1</x:v>
      </x:c>
    </x:row>
  </x:sheetData>
  <x:mergeCells>
    <x:mergeCell ref="A2:K2"/>
    <x:mergeCell ref="A3:K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FC24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8" hidden="0" customWidth="1"/>
    <x:col min="4" max="4" width="19" hidden="0" customWidth="1"/>
    <x:col min="5" max="5" width="14" hidden="0" customWidth="1"/>
    <x:col min="6" max="6" width="18" hidden="0" customWidth="1"/>
    <x:col min="7" max="7" width="10" hidden="0" customWidth="1"/>
    <x:col min="8" max="8" width="10" hidden="0" customWidth="1"/>
    <x:col min="9" max="9" width="18" hidden="0" customWidth="1"/>
    <x:col min="10" max="10" width="18" hidden="0" customWidth="1"/>
    <x:col min="11" max="11" width="24" hidden="0" customWidth="1"/>
  </x:cols>
  <x:sheetData>
    <x:row r="2">
      <x:c r="A2" s="1" t="str">
        <x:v>Medal Matches</x:v>
      </x:c>
    </x:row>
    <x:row r="3">
      <x:c r="A3" s="2" t="str">
        <x:v>Top two pairs from each club advance. Enter medal-round scores in the yellow columns.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6" ht="30" customHeight="1">
      <x:c r="A6" s="15" t="str">
        <x:v>Match ID</x:v>
      </x:c>
      <x:c r="B6" s="16" t="str">
        <x:v>Time</x:v>
      </x:c>
      <x:c r="C6" s="16" t="str">
        <x:v>Court</x:v>
      </x:c>
      <x:c r="D6" s="16" t="str">
        <x:v>Division</x:v>
      </x:c>
      <x:c r="E6" s="16" t="str">
        <x:v>Stage</x:v>
      </x:c>
      <x:c r="F6" s="16" t="str">
        <x:v>Side A</x:v>
      </x:c>
      <x:c r="G6" s="16" t="str">
        <x:v>Score A</x:v>
      </x:c>
      <x:c r="H6" s="16" t="str">
        <x:v>Score B</x:v>
      </x:c>
      <x:c r="I6" s="16" t="str">
        <x:v>Side B</x:v>
      </x:c>
      <x:c r="J6" s="16" t="str">
        <x:v>Winner</x:v>
      </x:c>
      <x:c r="K6" s="17" t="str">
        <x:v>Notes</x:v>
      </x:c>
    </x:row>
    <x:row r="7">
      <x:c r="A7" s="35" t="str">
        <x:v>NO-SF1</x:v>
      </x:c>
      <x:c r="B7" s="36" t="str">
        <x:v>3:30 PM-3:45 PM</x:v>
      </x:c>
      <x:c r="C7" s="36" t="n">
        <x:v>1</x:v>
      </x:c>
      <x:c r="D7" s="36" t="str">
        <x:v>Novice</x:v>
      </x:c>
      <x:c r="E7" s="36" t="str">
        <x:v>Semifinal 1</x:v>
      </x:c>
      <x:c r="F7" s="21" t="str">
        <x:v>OCPC #1</x:v>
      </x:c>
      <x:c r="G7" s="52" t="str"/>
      <x:c r="H7" s="52" t="str"/>
      <x:c r="I7" s="21" t="str">
        <x:v>Rebels #2</x:v>
      </x:c>
      <x:c r="J7" s="36" t="str">
        <x:f>IF(OR(G7="",H7=""),"",IF(G7&gt;H7,F7,IF(H7&gt;G7,I7,"TIE")))</x:f>
      </x:c>
      <x:c r="K7" s="22" t="str"/>
    </x:row>
    <x:row r="8">
      <x:c r="A8" s="37" t="str">
        <x:v>NO-SF2</x:v>
      </x:c>
      <x:c r="B8" s="38" t="str">
        <x:v>3:30 PM-3:45 PM</x:v>
      </x:c>
      <x:c r="C8" s="38" t="n">
        <x:v>2</x:v>
      </x:c>
      <x:c r="D8" s="38" t="str">
        <x:v>Novice</x:v>
      </x:c>
      <x:c r="E8" s="38" t="str">
        <x:v>Semifinal 2</x:v>
      </x:c>
      <x:c r="F8" s="24" t="str">
        <x:v>Rebels #1</x:v>
      </x:c>
      <x:c r="G8" s="53" t="str"/>
      <x:c r="H8" s="53" t="str"/>
      <x:c r="I8" s="24" t="str">
        <x:v>OCPC #2</x:v>
      </x:c>
      <x:c r="J8" s="38" t="str">
        <x:f>IF(OR(G8="",H8=""),"",IF(G8&gt;H8,F8,IF(H8&gt;G8,I8,"TIE")))</x:f>
      </x:c>
      <x:c r="K8" s="25" t="str"/>
    </x:row>
    <x:row r="9">
      <x:c r="A9" s="37" t="str">
        <x:v>NO-BR</x:v>
      </x:c>
      <x:c r="B9" s="38" t="str">
        <x:v>4:00 PM-4:15 PM</x:v>
      </x:c>
      <x:c r="C9" s="38" t="n">
        <x:v>1</x:v>
      </x:c>
      <x:c r="D9" s="38" t="str">
        <x:v>Novice</x:v>
      </x:c>
      <x:c r="E9" s="38" t="str">
        <x:v>Bronze</x:v>
      </x:c>
      <x:c r="F9" s="24" t="str">
        <x:v>SF1 Loser</x:v>
      </x:c>
      <x:c r="G9" s="53" t="str"/>
      <x:c r="H9" s="53" t="str"/>
      <x:c r="I9" s="24" t="str">
        <x:v>SF2 Loser</x:v>
      </x:c>
      <x:c r="J9" s="38" t="str">
        <x:f>IF(OR(G9="",H9=""),"",IF(G9&gt;H9,F9,IF(H9&gt;G9,I9,"TIE")))</x:f>
      </x:c>
      <x:c r="K9" s="25" t="str"/>
    </x:row>
    <x:row r="10">
      <x:c r="A10" s="37" t="str">
        <x:v>NO-GF</x:v>
      </x:c>
      <x:c r="B10" s="38" t="str">
        <x:v>4:00 PM-4:15 PM</x:v>
      </x:c>
      <x:c r="C10" s="38" t="n">
        <x:v>2</x:v>
      </x:c>
      <x:c r="D10" s="38" t="str">
        <x:v>Novice</x:v>
      </x:c>
      <x:c r="E10" s="38" t="str">
        <x:v>Final</x:v>
      </x:c>
      <x:c r="F10" s="24" t="str">
        <x:v>SF1 Winner</x:v>
      </x:c>
      <x:c r="G10" s="53" t="str"/>
      <x:c r="H10" s="53" t="str"/>
      <x:c r="I10" s="24" t="str">
        <x:v>SF2 Winner</x:v>
      </x:c>
      <x:c r="J10" s="38" t="str">
        <x:f>IF(OR(G10="",H10=""),"",IF(G10&gt;H10,F10,IF(H10&gt;G10,I10,"TIE")))</x:f>
      </x:c>
      <x:c r="K10" s="25" t="str"/>
    </x:row>
    <x:row r="11">
      <x:c r="A11" s="37" t="str">
        <x:v>LO-SF1</x:v>
      </x:c>
      <x:c r="B11" s="38" t="str">
        <x:v>3:30 PM-3:45 PM</x:v>
      </x:c>
      <x:c r="C11" s="38" t="n">
        <x:v>3</x:v>
      </x:c>
      <x:c r="D11" s="38" t="str">
        <x:v>Low Intermediate</x:v>
      </x:c>
      <x:c r="E11" s="38" t="str">
        <x:v>Semifinal 1</x:v>
      </x:c>
      <x:c r="F11" s="24" t="str">
        <x:v>OCPC #1</x:v>
      </x:c>
      <x:c r="G11" s="53" t="str"/>
      <x:c r="H11" s="53" t="str"/>
      <x:c r="I11" s="24" t="str">
        <x:v>Rebels #2</x:v>
      </x:c>
      <x:c r="J11" s="38" t="str">
        <x:f>IF(OR(G11="",H11=""),"",IF(G11&gt;H11,F11,IF(H11&gt;G11,I11,"TIE")))</x:f>
      </x:c>
      <x:c r="K11" s="25" t="str"/>
    </x:row>
    <x:row r="12">
      <x:c r="A12" s="37" t="str">
        <x:v>LO-SF2</x:v>
      </x:c>
      <x:c r="B12" s="38" t="str">
        <x:v>3:30 PM-3:45 PM</x:v>
      </x:c>
      <x:c r="C12" s="38" t="n">
        <x:v>4</x:v>
      </x:c>
      <x:c r="D12" s="38" t="str">
        <x:v>Low Intermediate</x:v>
      </x:c>
      <x:c r="E12" s="38" t="str">
        <x:v>Semifinal 2</x:v>
      </x:c>
      <x:c r="F12" s="24" t="str">
        <x:v>Rebels #1</x:v>
      </x:c>
      <x:c r="G12" s="53" t="str"/>
      <x:c r="H12" s="53" t="str"/>
      <x:c r="I12" s="24" t="str">
        <x:v>OCPC #2</x:v>
      </x:c>
      <x:c r="J12" s="38" t="str">
        <x:f>IF(OR(G12="",H12=""),"",IF(G12&gt;H12,F12,IF(H12&gt;G12,I12,"TIE")))</x:f>
      </x:c>
      <x:c r="K12" s="25" t="str"/>
    </x:row>
    <x:row r="13">
      <x:c r="A13" s="37" t="str">
        <x:v>LO-BR</x:v>
      </x:c>
      <x:c r="B13" s="38" t="str">
        <x:v>4:00 PM-4:15 PM</x:v>
      </x:c>
      <x:c r="C13" s="38" t="n">
        <x:v>3</x:v>
      </x:c>
      <x:c r="D13" s="38" t="str">
        <x:v>Low Intermediate</x:v>
      </x:c>
      <x:c r="E13" s="38" t="str">
        <x:v>Bronze</x:v>
      </x:c>
      <x:c r="F13" s="24" t="str">
        <x:v>SF1 Loser</x:v>
      </x:c>
      <x:c r="G13" s="53" t="str"/>
      <x:c r="H13" s="53" t="str"/>
      <x:c r="I13" s="24" t="str">
        <x:v>SF2 Loser</x:v>
      </x:c>
      <x:c r="J13" s="38" t="str">
        <x:f>IF(OR(G13="",H13=""),"",IF(G13&gt;H13,F13,IF(H13&gt;G13,I13,"TIE")))</x:f>
      </x:c>
      <x:c r="K13" s="25" t="str"/>
    </x:row>
    <x:row r="14">
      <x:c r="A14" s="37" t="str">
        <x:v>LO-GF</x:v>
      </x:c>
      <x:c r="B14" s="38" t="str">
        <x:v>4:00 PM-4:15 PM</x:v>
      </x:c>
      <x:c r="C14" s="38" t="n">
        <x:v>4</x:v>
      </x:c>
      <x:c r="D14" s="38" t="str">
        <x:v>Low Intermediate</x:v>
      </x:c>
      <x:c r="E14" s="38" t="str">
        <x:v>Final</x:v>
      </x:c>
      <x:c r="F14" s="24" t="str">
        <x:v>SF1 Winner</x:v>
      </x:c>
      <x:c r="G14" s="53" t="str"/>
      <x:c r="H14" s="53" t="str"/>
      <x:c r="I14" s="24" t="str">
        <x:v>SF2 Winner</x:v>
      </x:c>
      <x:c r="J14" s="38" t="str">
        <x:f>IF(OR(G14="",H14=""),"",IF(G14&gt;H14,F14,IF(H14&gt;G14,I14,"TIE")))</x:f>
      </x:c>
      <x:c r="K14" s="25" t="str"/>
    </x:row>
    <x:row r="15">
      <x:c r="A15" s="37" t="str">
        <x:v>HI-SF1</x:v>
      </x:c>
      <x:c r="B15" s="38" t="str">
        <x:v>3:30 PM-3:45 PM</x:v>
      </x:c>
      <x:c r="C15" s="38" t="n">
        <x:v>5</x:v>
      </x:c>
      <x:c r="D15" s="38" t="str">
        <x:v>High Intermediate</x:v>
      </x:c>
      <x:c r="E15" s="38" t="str">
        <x:v>Semifinal 1</x:v>
      </x:c>
      <x:c r="F15" s="24" t="str">
        <x:v>OCPC #1</x:v>
      </x:c>
      <x:c r="G15" s="53" t="str"/>
      <x:c r="H15" s="53" t="str"/>
      <x:c r="I15" s="24" t="str">
        <x:v>Rebels #2</x:v>
      </x:c>
      <x:c r="J15" s="38" t="str">
        <x:f>IF(OR(G15="",H15=""),"",IF(G15&gt;H15,F15,IF(H15&gt;G15,I15,"TIE")))</x:f>
      </x:c>
      <x:c r="K15" s="25" t="str"/>
    </x:row>
    <x:row r="16">
      <x:c r="A16" s="37" t="str">
        <x:v>HI-SF2</x:v>
      </x:c>
      <x:c r="B16" s="38" t="str">
        <x:v>3:45 PM-4:00 PM</x:v>
      </x:c>
      <x:c r="C16" s="38" t="n">
        <x:v>1</x:v>
      </x:c>
      <x:c r="D16" s="38" t="str">
        <x:v>High Intermediate</x:v>
      </x:c>
      <x:c r="E16" s="38" t="str">
        <x:v>Semifinal 2</x:v>
      </x:c>
      <x:c r="F16" s="24" t="str">
        <x:v>Rebels #1</x:v>
      </x:c>
      <x:c r="G16" s="53" t="str"/>
      <x:c r="H16" s="53" t="str"/>
      <x:c r="I16" s="24" t="str">
        <x:v>OCPC #2</x:v>
      </x:c>
      <x:c r="J16" s="38" t="str">
        <x:f>IF(OR(G16="",H16=""),"",IF(G16&gt;H16,F16,IF(H16&gt;G16,I16,"TIE")))</x:f>
      </x:c>
      <x:c r="K16" s="25" t="str"/>
    </x:row>
    <x:row r="17">
      <x:c r="A17" s="37" t="str">
        <x:v>HI-BR</x:v>
      </x:c>
      <x:c r="B17" s="38" t="str">
        <x:v>4:15 PM-4:30 PM</x:v>
      </x:c>
      <x:c r="C17" s="38" t="n">
        <x:v>1</x:v>
      </x:c>
      <x:c r="D17" s="38" t="str">
        <x:v>High Intermediate</x:v>
      </x:c>
      <x:c r="E17" s="38" t="str">
        <x:v>Bronze</x:v>
      </x:c>
      <x:c r="F17" s="24" t="str">
        <x:v>SF1 Loser</x:v>
      </x:c>
      <x:c r="G17" s="53" t="str"/>
      <x:c r="H17" s="53" t="str"/>
      <x:c r="I17" s="24" t="str">
        <x:v>SF2 Loser</x:v>
      </x:c>
      <x:c r="J17" s="38" t="str">
        <x:f>IF(OR(G17="",H17=""),"",IF(G17&gt;H17,F17,IF(H17&gt;G17,I17,"TIE")))</x:f>
      </x:c>
      <x:c r="K17" s="25" t="str"/>
    </x:row>
    <x:row r="18">
      <x:c r="A18" s="39" t="str">
        <x:v>HI-GF</x:v>
      </x:c>
      <x:c r="B18" s="40" t="str">
        <x:v>4:15 PM-4:30 PM</x:v>
      </x:c>
      <x:c r="C18" s="40" t="n">
        <x:v>2</x:v>
      </x:c>
      <x:c r="D18" s="40" t="str">
        <x:v>High Intermediate</x:v>
      </x:c>
      <x:c r="E18" s="40" t="str">
        <x:v>Final</x:v>
      </x:c>
      <x:c r="F18" s="27" t="str">
        <x:v>SF1 Winner</x:v>
      </x:c>
      <x:c r="G18" s="54" t="str"/>
      <x:c r="H18" s="54" t="str"/>
      <x:c r="I18" s="27" t="str">
        <x:v>SF2 Winner</x:v>
      </x:c>
      <x:c r="J18" s="40" t="str">
        <x:f>IF(OR(G18="",H18=""),"",IF(G18&gt;H18,F18,IF(H18&gt;G18,I18,"TIE")))</x:f>
      </x:c>
      <x:c r="K18" s="28" t="str"/>
    </x:row>
    <x:row r="20">
      <x:c r="A20" s="62" t="str">
        <x:v>Tiebreak order: wins, point differential, points scored, then a deciding rally if advancement remains tied.</x:v>
      </x:c>
    </x:row>
  </x:sheetData>
  <x:mergeCells>
    <x:mergeCell ref="A2:K2"/>
    <x:mergeCell ref="A3:K3"/>
    <x:mergeCell ref="A20:K20"/>
  </x:mergeCells>
  <x:dataValidations count="1">
    <x:dataValidation type="whole" operator="between" sqref="G7:H18">
      <x:formula1>0</x:formula1>
      <x:formula2>17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FFC24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6" hidden="0" customWidth="1"/>
    <x:col min="4" max="4" width="9" hidden="0" customWidth="1"/>
    <x:col min="5" max="5" width="22" hidden="0" customWidth="1"/>
    <x:col min="6" max="6" width="22" hidden="0" customWidth="1"/>
  </x:cols>
  <x:sheetData>
    <x:row r="2">
      <x:c r="A2" s="1" t="str">
        <x:v>Pair Setup</x:v>
      </x:c>
    </x:row>
    <x:row r="3">
      <x:c r="A3" s="2" t="str">
        <x:v>Enter both player names for every pair before printing the score sheets.</x:v>
      </x:c>
    </x:row>
    <x:row r="4">
      <x:c r="A4" s="3"/>
      <x:c r="B4" s="3"/>
      <x:c r="C4" s="3"/>
      <x:c r="D4" s="3"/>
      <x:c r="E4" s="3"/>
      <x:c r="F4" s="3"/>
    </x:row>
    <x:row r="6" ht="30" customHeight="1">
      <x:c r="A6" s="15" t="str">
        <x:v>Lookup Key</x:v>
      </x:c>
      <x:c r="B6" s="16" t="str">
        <x:v>Division</x:v>
      </x:c>
      <x:c r="C6" s="16" t="str">
        <x:v>Club</x:v>
      </x:c>
      <x:c r="D6" s="16" t="str">
        <x:v>Pair</x:v>
      </x:c>
      <x:c r="E6" s="16" t="str">
        <x:v>Player 1</x:v>
      </x:c>
      <x:c r="F6" s="17" t="str">
        <x:v>Player 2</x:v>
      </x:c>
    </x:row>
    <x:row r="7">
      <x:c r="A7" s="20" t="str">
        <x:v>Novice|O1</x:v>
      </x:c>
      <x:c r="B7" s="21" t="str">
        <x:v>Novice</x:v>
      </x:c>
      <x:c r="C7" s="21" t="str">
        <x:v>OCPC</x:v>
      </x:c>
      <x:c r="D7" s="21" t="str">
        <x:v>O1</x:v>
      </x:c>
      <x:c r="E7" s="29" t="str"/>
      <x:c r="F7" s="30" t="str"/>
    </x:row>
    <x:row r="8">
      <x:c r="A8" s="23" t="str">
        <x:v>Novice|O2</x:v>
      </x:c>
      <x:c r="B8" s="24" t="str">
        <x:v>Novice</x:v>
      </x:c>
      <x:c r="C8" s="24" t="str">
        <x:v>OCPC</x:v>
      </x:c>
      <x:c r="D8" s="24" t="str">
        <x:v>O2</x:v>
      </x:c>
      <x:c r="E8" s="31" t="str"/>
      <x:c r="F8" s="32" t="str"/>
    </x:row>
    <x:row r="9">
      <x:c r="A9" s="23" t="str">
        <x:v>Novice|O3</x:v>
      </x:c>
      <x:c r="B9" s="24" t="str">
        <x:v>Novice</x:v>
      </x:c>
      <x:c r="C9" s="24" t="str">
        <x:v>OCPC</x:v>
      </x:c>
      <x:c r="D9" s="24" t="str">
        <x:v>O3</x:v>
      </x:c>
      <x:c r="E9" s="31" t="str"/>
      <x:c r="F9" s="32" t="str"/>
    </x:row>
    <x:row r="10">
      <x:c r="A10" s="23" t="str">
        <x:v>Novice|O4</x:v>
      </x:c>
      <x:c r="B10" s="24" t="str">
        <x:v>Novice</x:v>
      </x:c>
      <x:c r="C10" s="24" t="str">
        <x:v>OCPC</x:v>
      </x:c>
      <x:c r="D10" s="24" t="str">
        <x:v>O4</x:v>
      </x:c>
      <x:c r="E10" s="31" t="str"/>
      <x:c r="F10" s="32" t="str"/>
    </x:row>
    <x:row r="11">
      <x:c r="A11" s="23" t="str">
        <x:v>Novice|O5</x:v>
      </x:c>
      <x:c r="B11" s="24" t="str">
        <x:v>Novice</x:v>
      </x:c>
      <x:c r="C11" s="24" t="str">
        <x:v>OCPC</x:v>
      </x:c>
      <x:c r="D11" s="24" t="str">
        <x:v>O5</x:v>
      </x:c>
      <x:c r="E11" s="31" t="str"/>
      <x:c r="F11" s="32" t="str"/>
    </x:row>
    <x:row r="12">
      <x:c r="A12" s="23" t="str">
        <x:v>Novice|O6</x:v>
      </x:c>
      <x:c r="B12" s="24" t="str">
        <x:v>Novice</x:v>
      </x:c>
      <x:c r="C12" s="24" t="str">
        <x:v>OCPC</x:v>
      </x:c>
      <x:c r="D12" s="24" t="str">
        <x:v>O6</x:v>
      </x:c>
      <x:c r="E12" s="31" t="str"/>
      <x:c r="F12" s="32" t="str"/>
    </x:row>
    <x:row r="13">
      <x:c r="A13" s="23" t="str">
        <x:v>Novice|R1</x:v>
      </x:c>
      <x:c r="B13" s="24" t="str">
        <x:v>Novice</x:v>
      </x:c>
      <x:c r="C13" s="24" t="str">
        <x:v>Rally Rebels</x:v>
      </x:c>
      <x:c r="D13" s="24" t="str">
        <x:v>R1</x:v>
      </x:c>
      <x:c r="E13" s="31" t="str"/>
      <x:c r="F13" s="32" t="str"/>
    </x:row>
    <x:row r="14">
      <x:c r="A14" s="23" t="str">
        <x:v>Novice|R2</x:v>
      </x:c>
      <x:c r="B14" s="24" t="str">
        <x:v>Novice</x:v>
      </x:c>
      <x:c r="C14" s="24" t="str">
        <x:v>Rally Rebels</x:v>
      </x:c>
      <x:c r="D14" s="24" t="str">
        <x:v>R2</x:v>
      </x:c>
      <x:c r="E14" s="31" t="str"/>
      <x:c r="F14" s="32" t="str"/>
    </x:row>
    <x:row r="15">
      <x:c r="A15" s="23" t="str">
        <x:v>Novice|R3</x:v>
      </x:c>
      <x:c r="B15" s="24" t="str">
        <x:v>Novice</x:v>
      </x:c>
      <x:c r="C15" s="24" t="str">
        <x:v>Rally Rebels</x:v>
      </x:c>
      <x:c r="D15" s="24" t="str">
        <x:v>R3</x:v>
      </x:c>
      <x:c r="E15" s="31" t="str"/>
      <x:c r="F15" s="32" t="str"/>
    </x:row>
    <x:row r="16">
      <x:c r="A16" s="23" t="str">
        <x:v>Novice|R4</x:v>
      </x:c>
      <x:c r="B16" s="24" t="str">
        <x:v>Novice</x:v>
      </x:c>
      <x:c r="C16" s="24" t="str">
        <x:v>Rally Rebels</x:v>
      </x:c>
      <x:c r="D16" s="24" t="str">
        <x:v>R4</x:v>
      </x:c>
      <x:c r="E16" s="31" t="str"/>
      <x:c r="F16" s="32" t="str"/>
    </x:row>
    <x:row r="17">
      <x:c r="A17" s="23" t="str">
        <x:v>Novice|R5</x:v>
      </x:c>
      <x:c r="B17" s="24" t="str">
        <x:v>Novice</x:v>
      </x:c>
      <x:c r="C17" s="24" t="str">
        <x:v>Rally Rebels</x:v>
      </x:c>
      <x:c r="D17" s="24" t="str">
        <x:v>R5</x:v>
      </x:c>
      <x:c r="E17" s="31" t="str"/>
      <x:c r="F17" s="32" t="str"/>
    </x:row>
    <x:row r="18">
      <x:c r="A18" s="23" t="str">
        <x:v>Novice|R6</x:v>
      </x:c>
      <x:c r="B18" s="24" t="str">
        <x:v>Novice</x:v>
      </x:c>
      <x:c r="C18" s="24" t="str">
        <x:v>Rally Rebels</x:v>
      </x:c>
      <x:c r="D18" s="24" t="str">
        <x:v>R6</x:v>
      </x:c>
      <x:c r="E18" s="31" t="str"/>
      <x:c r="F18" s="32" t="str"/>
    </x:row>
    <x:row r="19">
      <x:c r="A19" s="23" t="str">
        <x:v>Low Intermediate|O1</x:v>
      </x:c>
      <x:c r="B19" s="24" t="str">
        <x:v>Low Intermediate</x:v>
      </x:c>
      <x:c r="C19" s="24" t="str">
        <x:v>OCPC</x:v>
      </x:c>
      <x:c r="D19" s="24" t="str">
        <x:v>O1</x:v>
      </x:c>
      <x:c r="E19" s="31" t="str"/>
      <x:c r="F19" s="32" t="str"/>
    </x:row>
    <x:row r="20">
      <x:c r="A20" s="23" t="str">
        <x:v>Low Intermediate|O2</x:v>
      </x:c>
      <x:c r="B20" s="24" t="str">
        <x:v>Low Intermediate</x:v>
      </x:c>
      <x:c r="C20" s="24" t="str">
        <x:v>OCPC</x:v>
      </x:c>
      <x:c r="D20" s="24" t="str">
        <x:v>O2</x:v>
      </x:c>
      <x:c r="E20" s="31" t="str"/>
      <x:c r="F20" s="32" t="str"/>
    </x:row>
    <x:row r="21">
      <x:c r="A21" s="23" t="str">
        <x:v>Low Intermediate|O3</x:v>
      </x:c>
      <x:c r="B21" s="24" t="str">
        <x:v>Low Intermediate</x:v>
      </x:c>
      <x:c r="C21" s="24" t="str">
        <x:v>OCPC</x:v>
      </x:c>
      <x:c r="D21" s="24" t="str">
        <x:v>O3</x:v>
      </x:c>
      <x:c r="E21" s="31" t="str"/>
      <x:c r="F21" s="32" t="str"/>
    </x:row>
    <x:row r="22">
      <x:c r="A22" s="23" t="str">
        <x:v>Low Intermediate|O4</x:v>
      </x:c>
      <x:c r="B22" s="24" t="str">
        <x:v>Low Intermediate</x:v>
      </x:c>
      <x:c r="C22" s="24" t="str">
        <x:v>OCPC</x:v>
      </x:c>
      <x:c r="D22" s="24" t="str">
        <x:v>O4</x:v>
      </x:c>
      <x:c r="E22" s="31" t="str"/>
      <x:c r="F22" s="32" t="str"/>
    </x:row>
    <x:row r="23">
      <x:c r="A23" s="23" t="str">
        <x:v>Low Intermediate|O5</x:v>
      </x:c>
      <x:c r="B23" s="24" t="str">
        <x:v>Low Intermediate</x:v>
      </x:c>
      <x:c r="C23" s="24" t="str">
        <x:v>OCPC</x:v>
      </x:c>
      <x:c r="D23" s="24" t="str">
        <x:v>O5</x:v>
      </x:c>
      <x:c r="E23" s="31" t="str"/>
      <x:c r="F23" s="32" t="str"/>
    </x:row>
    <x:row r="24">
      <x:c r="A24" s="23" t="str">
        <x:v>Low Intermediate|O6</x:v>
      </x:c>
      <x:c r="B24" s="24" t="str">
        <x:v>Low Intermediate</x:v>
      </x:c>
      <x:c r="C24" s="24" t="str">
        <x:v>OCPC</x:v>
      </x:c>
      <x:c r="D24" s="24" t="str">
        <x:v>O6</x:v>
      </x:c>
      <x:c r="E24" s="31" t="str"/>
      <x:c r="F24" s="32" t="str"/>
    </x:row>
    <x:row r="25">
      <x:c r="A25" s="23" t="str">
        <x:v>Low Intermediate|R1</x:v>
      </x:c>
      <x:c r="B25" s="24" t="str">
        <x:v>Low Intermediate</x:v>
      </x:c>
      <x:c r="C25" s="24" t="str">
        <x:v>Rally Rebels</x:v>
      </x:c>
      <x:c r="D25" s="24" t="str">
        <x:v>R1</x:v>
      </x:c>
      <x:c r="E25" s="31" t="str"/>
      <x:c r="F25" s="32" t="str"/>
    </x:row>
    <x:row r="26">
      <x:c r="A26" s="23" t="str">
        <x:v>Low Intermediate|R2</x:v>
      </x:c>
      <x:c r="B26" s="24" t="str">
        <x:v>Low Intermediate</x:v>
      </x:c>
      <x:c r="C26" s="24" t="str">
        <x:v>Rally Rebels</x:v>
      </x:c>
      <x:c r="D26" s="24" t="str">
        <x:v>R2</x:v>
      </x:c>
      <x:c r="E26" s="31" t="str"/>
      <x:c r="F26" s="32" t="str"/>
    </x:row>
    <x:row r="27">
      <x:c r="A27" s="23" t="str">
        <x:v>Low Intermediate|R3</x:v>
      </x:c>
      <x:c r="B27" s="24" t="str">
        <x:v>Low Intermediate</x:v>
      </x:c>
      <x:c r="C27" s="24" t="str">
        <x:v>Rally Rebels</x:v>
      </x:c>
      <x:c r="D27" s="24" t="str">
        <x:v>R3</x:v>
      </x:c>
      <x:c r="E27" s="31" t="str"/>
      <x:c r="F27" s="32" t="str"/>
    </x:row>
    <x:row r="28">
      <x:c r="A28" s="23" t="str">
        <x:v>Low Intermediate|R4</x:v>
      </x:c>
      <x:c r="B28" s="24" t="str">
        <x:v>Low Intermediate</x:v>
      </x:c>
      <x:c r="C28" s="24" t="str">
        <x:v>Rally Rebels</x:v>
      </x:c>
      <x:c r="D28" s="24" t="str">
        <x:v>R4</x:v>
      </x:c>
      <x:c r="E28" s="31" t="str"/>
      <x:c r="F28" s="32" t="str"/>
    </x:row>
    <x:row r="29">
      <x:c r="A29" s="23" t="str">
        <x:v>Low Intermediate|R5</x:v>
      </x:c>
      <x:c r="B29" s="24" t="str">
        <x:v>Low Intermediate</x:v>
      </x:c>
      <x:c r="C29" s="24" t="str">
        <x:v>Rally Rebels</x:v>
      </x:c>
      <x:c r="D29" s="24" t="str">
        <x:v>R5</x:v>
      </x:c>
      <x:c r="E29" s="31" t="str"/>
      <x:c r="F29" s="32" t="str"/>
    </x:row>
    <x:row r="30">
      <x:c r="A30" s="23" t="str">
        <x:v>Low Intermediate|R6</x:v>
      </x:c>
      <x:c r="B30" s="24" t="str">
        <x:v>Low Intermediate</x:v>
      </x:c>
      <x:c r="C30" s="24" t="str">
        <x:v>Rally Rebels</x:v>
      </x:c>
      <x:c r="D30" s="24" t="str">
        <x:v>R6</x:v>
      </x:c>
      <x:c r="E30" s="31" t="str"/>
      <x:c r="F30" s="32" t="str"/>
    </x:row>
    <x:row r="31">
      <x:c r="A31" s="23" t="str">
        <x:v>High Intermediate|O1</x:v>
      </x:c>
      <x:c r="B31" s="24" t="str">
        <x:v>High Intermediate</x:v>
      </x:c>
      <x:c r="C31" s="24" t="str">
        <x:v>OCPC</x:v>
      </x:c>
      <x:c r="D31" s="24" t="str">
        <x:v>O1</x:v>
      </x:c>
      <x:c r="E31" s="31" t="str"/>
      <x:c r="F31" s="32" t="str"/>
    </x:row>
    <x:row r="32">
      <x:c r="A32" s="23" t="str">
        <x:v>High Intermediate|O2</x:v>
      </x:c>
      <x:c r="B32" s="24" t="str">
        <x:v>High Intermediate</x:v>
      </x:c>
      <x:c r="C32" s="24" t="str">
        <x:v>OCPC</x:v>
      </x:c>
      <x:c r="D32" s="24" t="str">
        <x:v>O2</x:v>
      </x:c>
      <x:c r="E32" s="31" t="str"/>
      <x:c r="F32" s="32" t="str"/>
    </x:row>
    <x:row r="33">
      <x:c r="A33" s="23" t="str">
        <x:v>High Intermediate|O3</x:v>
      </x:c>
      <x:c r="B33" s="24" t="str">
        <x:v>High Intermediate</x:v>
      </x:c>
      <x:c r="C33" s="24" t="str">
        <x:v>OCPC</x:v>
      </x:c>
      <x:c r="D33" s="24" t="str">
        <x:v>O3</x:v>
      </x:c>
      <x:c r="E33" s="31" t="str"/>
      <x:c r="F33" s="32" t="str"/>
    </x:row>
    <x:row r="34">
      <x:c r="A34" s="23" t="str">
        <x:v>High Intermediate|O4</x:v>
      </x:c>
      <x:c r="B34" s="24" t="str">
        <x:v>High Intermediate</x:v>
      </x:c>
      <x:c r="C34" s="24" t="str">
        <x:v>OCPC</x:v>
      </x:c>
      <x:c r="D34" s="24" t="str">
        <x:v>O4</x:v>
      </x:c>
      <x:c r="E34" s="31" t="str"/>
      <x:c r="F34" s="32" t="str"/>
    </x:row>
    <x:row r="35">
      <x:c r="A35" s="23" t="str">
        <x:v>High Intermediate|O5</x:v>
      </x:c>
      <x:c r="B35" s="24" t="str">
        <x:v>High Intermediate</x:v>
      </x:c>
      <x:c r="C35" s="24" t="str">
        <x:v>OCPC</x:v>
      </x:c>
      <x:c r="D35" s="24" t="str">
        <x:v>O5</x:v>
      </x:c>
      <x:c r="E35" s="31" t="str"/>
      <x:c r="F35" s="32" t="str"/>
    </x:row>
    <x:row r="36">
      <x:c r="A36" s="23" t="str">
        <x:v>High Intermediate|O6</x:v>
      </x:c>
      <x:c r="B36" s="24" t="str">
        <x:v>High Intermediate</x:v>
      </x:c>
      <x:c r="C36" s="24" t="str">
        <x:v>OCPC</x:v>
      </x:c>
      <x:c r="D36" s="24" t="str">
        <x:v>O6</x:v>
      </x:c>
      <x:c r="E36" s="31" t="str"/>
      <x:c r="F36" s="32" t="str"/>
    </x:row>
    <x:row r="37">
      <x:c r="A37" s="23" t="str">
        <x:v>High Intermediate|R1</x:v>
      </x:c>
      <x:c r="B37" s="24" t="str">
        <x:v>High Intermediate</x:v>
      </x:c>
      <x:c r="C37" s="24" t="str">
        <x:v>Rally Rebels</x:v>
      </x:c>
      <x:c r="D37" s="24" t="str">
        <x:v>R1</x:v>
      </x:c>
      <x:c r="E37" s="31" t="str"/>
      <x:c r="F37" s="32" t="str"/>
    </x:row>
    <x:row r="38">
      <x:c r="A38" s="23" t="str">
        <x:v>High Intermediate|R2</x:v>
      </x:c>
      <x:c r="B38" s="24" t="str">
        <x:v>High Intermediate</x:v>
      </x:c>
      <x:c r="C38" s="24" t="str">
        <x:v>Rally Rebels</x:v>
      </x:c>
      <x:c r="D38" s="24" t="str">
        <x:v>R2</x:v>
      </x:c>
      <x:c r="E38" s="31" t="str"/>
      <x:c r="F38" s="32" t="str"/>
    </x:row>
    <x:row r="39">
      <x:c r="A39" s="23" t="str">
        <x:v>High Intermediate|R3</x:v>
      </x:c>
      <x:c r="B39" s="24" t="str">
        <x:v>High Intermediate</x:v>
      </x:c>
      <x:c r="C39" s="24" t="str">
        <x:v>Rally Rebels</x:v>
      </x:c>
      <x:c r="D39" s="24" t="str">
        <x:v>R3</x:v>
      </x:c>
      <x:c r="E39" s="31" t="str"/>
      <x:c r="F39" s="32" t="str"/>
    </x:row>
    <x:row r="40">
      <x:c r="A40" s="23" t="str">
        <x:v>High Intermediate|R4</x:v>
      </x:c>
      <x:c r="B40" s="24" t="str">
        <x:v>High Intermediate</x:v>
      </x:c>
      <x:c r="C40" s="24" t="str">
        <x:v>Rally Rebels</x:v>
      </x:c>
      <x:c r="D40" s="24" t="str">
        <x:v>R4</x:v>
      </x:c>
      <x:c r="E40" s="31" t="str"/>
      <x:c r="F40" s="32" t="str"/>
    </x:row>
    <x:row r="41">
      <x:c r="A41" s="23" t="str">
        <x:v>High Intermediate|R5</x:v>
      </x:c>
      <x:c r="B41" s="24" t="str">
        <x:v>High Intermediate</x:v>
      </x:c>
      <x:c r="C41" s="24" t="str">
        <x:v>Rally Rebels</x:v>
      </x:c>
      <x:c r="D41" s="24" t="str">
        <x:v>R5</x:v>
      </x:c>
      <x:c r="E41" s="31" t="str"/>
      <x:c r="F41" s="32" t="str"/>
    </x:row>
    <x:row r="42">
      <x:c r="A42" s="26" t="str">
        <x:v>High Intermediate|R6</x:v>
      </x:c>
      <x:c r="B42" s="27" t="str">
        <x:v>High Intermediate</x:v>
      </x:c>
      <x:c r="C42" s="27" t="str">
        <x:v>Rally Rebels</x:v>
      </x:c>
      <x:c r="D42" s="27" t="str">
        <x:v>R6</x:v>
      </x:c>
      <x:c r="E42" s="33" t="str"/>
      <x:c r="F42" s="34" t="str"/>
    </x:row>
  </x:sheetData>
  <x:mergeCells>
    <x:mergeCell ref="A2:F2"/>
    <x:mergeCell ref="A3:F3"/>
  </x:mergeCells>
  <x:pageMargins left="0.7" right="0.7" top="0.75" bottom="0.75" header="0.3" footer="0.3"/>
</x:worksheet>
</file>